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hidePivotFieldList="1" defaultThemeVersion="166925"/>
  <xr:revisionPtr revIDLastSave="0" documentId="8_{D0479A39-1D28-4847-B9D9-3383674890C8}" xr6:coauthVersionLast="47" xr6:coauthVersionMax="47" xr10:uidLastSave="{00000000-0000-0000-0000-000000000000}"/>
  <bookViews>
    <workbookView xWindow="240" yWindow="105" windowWidth="14805" windowHeight="8010" firstSheet="3" activeTab="1" xr2:uid="{00000000-000D-0000-FFFF-FFFF00000000}"/>
  </bookViews>
  <sheets>
    <sheet name="Raw_Data" sheetId="1" r:id="rId1"/>
    <sheet name="Clean_Data" sheetId="2" r:id="rId2"/>
    <sheet name="Analysis" sheetId="3" r:id="rId3"/>
    <sheet name="Dashboard" sheetId="6" r:id="rId4"/>
    <sheet name="README" sheetId="8" r:id="rId5"/>
  </sheets>
  <calcPr calcId="191028"/>
  <pivotCaches>
    <pivotCache cacheId="13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6" l="1"/>
  <c r="B5" i="6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P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H5" i="6" l="1"/>
  <c r="K5" i="6"/>
</calcChain>
</file>

<file path=xl/sharedStrings.xml><?xml version="1.0" encoding="utf-8"?>
<sst xmlns="http://schemas.openxmlformats.org/spreadsheetml/2006/main" count="910" uniqueCount="145">
  <si>
    <t>Product_ID</t>
  </si>
  <si>
    <t>Product_Name</t>
  </si>
  <si>
    <t>Product_Family</t>
  </si>
  <si>
    <t>Region</t>
  </si>
  <si>
    <t>Channel</t>
  </si>
  <si>
    <t>Campaign</t>
  </si>
  <si>
    <t>Leads</t>
  </si>
  <si>
    <t>Clicks</t>
  </si>
  <si>
    <t>Impressions</t>
  </si>
  <si>
    <t>Budget_EUR</t>
  </si>
  <si>
    <t>Owner</t>
  </si>
  <si>
    <t>Last_Updated</t>
  </si>
  <si>
    <t>Status</t>
  </si>
  <si>
    <t>IFX-001</t>
  </si>
  <si>
    <t>Power MOSFET A</t>
  </si>
  <si>
    <t>Power Management</t>
  </si>
  <si>
    <t>EMEA</t>
  </si>
  <si>
    <t>LinkedIn</t>
  </si>
  <si>
    <t>Q2 Awareness</t>
  </si>
  <si>
    <t>Marketing Ops</t>
  </si>
  <si>
    <t>Active</t>
  </si>
  <si>
    <t>IFX-002</t>
  </si>
  <si>
    <t>Sensor Module B</t>
  </si>
  <si>
    <t>Sensors</t>
  </si>
  <si>
    <t>APAC</t>
  </si>
  <si>
    <t>Webinar</t>
  </si>
  <si>
    <t>Product Launch</t>
  </si>
  <si>
    <t>Product Marketing</t>
  </si>
  <si>
    <t>IFX-003</t>
  </si>
  <si>
    <t>MCU Starter Kit</t>
  </si>
  <si>
    <t>Microcontrollers</t>
  </si>
  <si>
    <t>Americas</t>
  </si>
  <si>
    <t>Email</t>
  </si>
  <si>
    <t>Developer Campaign</t>
  </si>
  <si>
    <t>Sales Enablement</t>
  </si>
  <si>
    <t>Review</t>
  </si>
  <si>
    <t>IFX-004</t>
  </si>
  <si>
    <t>Automotive Radar Sensor</t>
  </si>
  <si>
    <t>Automotive</t>
  </si>
  <si>
    <t>Trade Fair</t>
  </si>
  <si>
    <t>Automotive Campaign</t>
  </si>
  <si>
    <t>Application Engineering</t>
  </si>
  <si>
    <t>active</t>
  </si>
  <si>
    <t>IFX-005</t>
  </si>
  <si>
    <t>Security Controller X</t>
  </si>
  <si>
    <t>Security ICs</t>
  </si>
  <si>
    <t>Europe</t>
  </si>
  <si>
    <t>Website</t>
  </si>
  <si>
    <t>Industrial Campaign</t>
  </si>
  <si>
    <t>Digital Marketing</t>
  </si>
  <si>
    <t>ACTIVE</t>
  </si>
  <si>
    <t>IFX-006</t>
  </si>
  <si>
    <t>Bluetooth Module C</t>
  </si>
  <si>
    <t>Connectivity</t>
  </si>
  <si>
    <t>Newsletter</t>
  </si>
  <si>
    <t>Newsletter Push</t>
  </si>
  <si>
    <t>Completed</t>
  </si>
  <si>
    <t>IFX-007</t>
  </si>
  <si>
    <t>Gate Driver IC</t>
  </si>
  <si>
    <t>emea</t>
  </si>
  <si>
    <t>IFX-008</t>
  </si>
  <si>
    <t>Voltage Regulator Pro</t>
  </si>
  <si>
    <t>IFX-009</t>
  </si>
  <si>
    <t>Pressure Sensor Plus</t>
  </si>
  <si>
    <t>Paused</t>
  </si>
  <si>
    <t>IFX-010</t>
  </si>
  <si>
    <t>Industrial MCU Board</t>
  </si>
  <si>
    <t>IFX-011</t>
  </si>
  <si>
    <t>Smart Power Switch</t>
  </si>
  <si>
    <t>IFX-012</t>
  </si>
  <si>
    <t>NFC Security IC</t>
  </si>
  <si>
    <t>IFX-013</t>
  </si>
  <si>
    <t>Radar Evaluation Kit</t>
  </si>
  <si>
    <t>IFX-014</t>
  </si>
  <si>
    <t>Temperature Sensor Mini</t>
  </si>
  <si>
    <t>IFX-015</t>
  </si>
  <si>
    <t>WiFi Control Module</t>
  </si>
  <si>
    <t>IFX-016</t>
  </si>
  <si>
    <t>Motor Control IC</t>
  </si>
  <si>
    <t>IFX-017</t>
  </si>
  <si>
    <t>Embedded Security Chip</t>
  </si>
  <si>
    <t>IFX-018</t>
  </si>
  <si>
    <t>Power Management Board</t>
  </si>
  <si>
    <t>IFX-019</t>
  </si>
  <si>
    <t>Proximity Sensor Kit</t>
  </si>
  <si>
    <t>IFX-020</t>
  </si>
  <si>
    <t>MCU Development Board</t>
  </si>
  <si>
    <t>IFX-021</t>
  </si>
  <si>
    <t>Automotive Control Unit</t>
  </si>
  <si>
    <t>IFX-022</t>
  </si>
  <si>
    <t>Secure Payment IC</t>
  </si>
  <si>
    <t>IFX-023</t>
  </si>
  <si>
    <t>Low Power Bluetooth IC</t>
  </si>
  <si>
    <t>IFX-024</t>
  </si>
  <si>
    <t>Current Sensor Module</t>
  </si>
  <si>
    <t>IFX-025</t>
  </si>
  <si>
    <t>High Voltage Gate Driver</t>
  </si>
  <si>
    <t>IFX-026</t>
  </si>
  <si>
    <t>IFX-027</t>
  </si>
  <si>
    <t>IFX-028</t>
  </si>
  <si>
    <t>IFX-029</t>
  </si>
  <si>
    <t>IFX-030</t>
  </si>
  <si>
    <t>IFX-031</t>
  </si>
  <si>
    <t xml:space="preserve"> Power MOSFET A</t>
  </si>
  <si>
    <t>IFX-032</t>
  </si>
  <si>
    <t>IFX-033</t>
  </si>
  <si>
    <t>IFX-034</t>
  </si>
  <si>
    <t>apac</t>
  </si>
  <si>
    <t>IFX-035</t>
  </si>
  <si>
    <t>IFX-036</t>
  </si>
  <si>
    <t>completed</t>
  </si>
  <si>
    <t>IFX-037</t>
  </si>
  <si>
    <t>IFX-038</t>
  </si>
  <si>
    <t>IFX-039</t>
  </si>
  <si>
    <t>usa</t>
  </si>
  <si>
    <t>IFX-040</t>
  </si>
  <si>
    <t>IFX-041</t>
  </si>
  <si>
    <t>IFX-042</t>
  </si>
  <si>
    <t>IFX-043</t>
  </si>
  <si>
    <t>IFX-044</t>
  </si>
  <si>
    <t>IFX-045</t>
  </si>
  <si>
    <t>IFX-046</t>
  </si>
  <si>
    <t>IFX-047</t>
  </si>
  <si>
    <t>IFX-048</t>
  </si>
  <si>
    <t>IFX-049</t>
  </si>
  <si>
    <t>IFX-050</t>
  </si>
  <si>
    <t>Data_Quality_Flag</t>
  </si>
  <si>
    <t>Update_Status</t>
  </si>
  <si>
    <t>Click_Through_Rate</t>
  </si>
  <si>
    <t>Cost_Per_Lead</t>
  </si>
  <si>
    <t>Sum of Leads</t>
  </si>
  <si>
    <t>Sum of Budget_EUR</t>
  </si>
  <si>
    <t>Count of Product_ID</t>
  </si>
  <si>
    <t>Sum of Clicks</t>
  </si>
  <si>
    <t>Average of Click_Through_Rate</t>
  </si>
  <si>
    <t>Average of Cost_Per_Lead</t>
  </si>
  <si>
    <t>Complete</t>
  </si>
  <si>
    <t>Incomplete</t>
  </si>
  <si>
    <t>Grand Total</t>
  </si>
  <si>
    <t>(blank)</t>
  </si>
  <si>
    <t>Marketing Data Quality Dashboard</t>
  </si>
  <si>
    <t>Total Leads</t>
  </si>
  <si>
    <t>Total Budget</t>
  </si>
  <si>
    <t>Complete Records</t>
  </si>
  <si>
    <t>Records Needing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</si>
</sst>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/>
    <xf numFmtId="14" fontId="0" fillId="0" borderId="0" xfId="0" applyNumberFormat="1" applyAlignment="1"/>
    <xf numFmtId="10" fontId="0" fillId="0" borderId="0" xfId="0" applyNumberFormat="1" applyAlignment="1"/>
    <xf numFmtId="164" fontId="0" fillId="0" borderId="0" xfId="0" applyNumberFormat="1" applyAlignment="1">
      <alignment wrapText="1"/>
    </xf>
    <xf numFmtId="164" fontId="0" fillId="0" borderId="0" xfId="0" applyNumberFormat="1" applyAlignment="1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23">
    <dxf>
      <numFmt numFmtId="164" formatCode="&quot;$&quot;#,##0.00"/>
      <alignment horizontal="general" vertical="bottom" textRotation="0" wrapText="0" indent="0" justifyLastLine="0" shrinkToFit="0" readingOrder="0"/>
    </dxf>
    <dxf>
      <numFmt numFmtId="14" formatCode="0.00%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[Marketing_Data_Quality_Dashboard_Muhammad_Ali.xlsx]Analysis!Leads by Product Family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 by Product Family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Analysis!$A$2:$A$9</c:f>
              <c:strCache>
                <c:ptCount val="7"/>
                <c:pt idx="0">
                  <c:v>Automotive</c:v>
                </c:pt>
                <c:pt idx="1">
                  <c:v>Connectivity</c:v>
                </c:pt>
                <c:pt idx="2">
                  <c:v>Microcontrollers</c:v>
                </c:pt>
                <c:pt idx="3">
                  <c:v>Power Management</c:v>
                </c:pt>
                <c:pt idx="4">
                  <c:v>Security ICs</c:v>
                </c:pt>
                <c:pt idx="5">
                  <c:v>Sensors</c:v>
                </c:pt>
                <c:pt idx="6">
                  <c:v>(blank)</c:v>
                </c:pt>
              </c:strCache>
            </c:strRef>
          </c:cat>
          <c:val>
            <c:numRef>
              <c:f>Analysis!$B$2:$B$9</c:f>
              <c:numCache>
                <c:formatCode>General</c:formatCode>
                <c:ptCount val="7"/>
                <c:pt idx="0">
                  <c:v>1079</c:v>
                </c:pt>
                <c:pt idx="1">
                  <c:v>664</c:v>
                </c:pt>
                <c:pt idx="2">
                  <c:v>1233</c:v>
                </c:pt>
                <c:pt idx="3">
                  <c:v>1281</c:v>
                </c:pt>
                <c:pt idx="4">
                  <c:v>600</c:v>
                </c:pt>
                <c:pt idx="5">
                  <c:v>789</c:v>
                </c:pt>
                <c:pt idx="6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6-4375-9BFC-0B37381E4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856967"/>
        <c:axId val="1546859015"/>
      </c:barChart>
      <c:catAx>
        <c:axId val="1546856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59015"/>
        <c:crosses val="autoZero"/>
        <c:auto val="1"/>
        <c:lblAlgn val="ctr"/>
        <c:lblOffset val="100"/>
        <c:noMultiLvlLbl val="0"/>
      </c:catAx>
      <c:valAx>
        <c:axId val="1546859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5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[Marketing_Data_Quality_Dashboard_Muhammad_Ali.xlsx]Analysis!Budget by Region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Analysis!$D$2:$D$5</c:f>
              <c:strCache>
                <c:ptCount val="3"/>
                <c:pt idx="0">
                  <c:v>Americas</c:v>
                </c:pt>
                <c:pt idx="1">
                  <c:v>APAC</c:v>
                </c:pt>
                <c:pt idx="2">
                  <c:v>EMEA</c:v>
                </c:pt>
              </c:strCache>
            </c:strRef>
          </c:cat>
          <c:val>
            <c:numRef>
              <c:f>Analysis!$E$2:$E$5</c:f>
              <c:numCache>
                <c:formatCode>General</c:formatCode>
                <c:ptCount val="3"/>
                <c:pt idx="0">
                  <c:v>10030</c:v>
                </c:pt>
                <c:pt idx="1">
                  <c:v>11595</c:v>
                </c:pt>
                <c:pt idx="2">
                  <c:v>16110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D-4BD8-8FDD-FD574A6C5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787464"/>
        <c:axId val="2030932999"/>
      </c:barChart>
      <c:catAx>
        <c:axId val="124878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32999"/>
        <c:crosses val="autoZero"/>
        <c:auto val="1"/>
        <c:lblAlgn val="ctr"/>
        <c:lblOffset val="100"/>
        <c:noMultiLvlLbl val="0"/>
      </c:catAx>
      <c:valAx>
        <c:axId val="2030932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78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[Marketing_Data_Quality_Dashboard_Muhammad_Ali.xlsx]Analysis!Data Quality Summary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Quality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Analysis!$G$2:$G$4</c:f>
              <c:strCache>
                <c:ptCount val="2"/>
                <c:pt idx="0">
                  <c:v>Complete</c:v>
                </c:pt>
                <c:pt idx="1">
                  <c:v>Incomplete</c:v>
                </c:pt>
              </c:strCache>
            </c:strRef>
          </c:cat>
          <c:val>
            <c:numRef>
              <c:f>Analysis!$H$2:$H$4</c:f>
              <c:numCache>
                <c:formatCode>General</c:formatCode>
                <c:ptCount val="2"/>
                <c:pt idx="0">
                  <c:v>45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9-4F12-8E51-0A018E5E9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440263"/>
        <c:axId val="793442311"/>
      </c:barChart>
      <c:catAx>
        <c:axId val="793440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42311"/>
        <c:crosses val="autoZero"/>
        <c:auto val="1"/>
        <c:lblAlgn val="ctr"/>
        <c:lblOffset val="100"/>
        <c:noMultiLvlLbl val="0"/>
      </c:catAx>
      <c:valAx>
        <c:axId val="793442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40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[Marketing_Data_Quality_Dashboard_Muhammad_Ali.xlsx]Analysis!PivotTable4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per Lead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Analysis!$K$1</c:f>
              <c:strCache>
                <c:ptCount val="1"/>
                <c:pt idx="0">
                  <c:v>Sum of Leads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Analysis!$J$2:$J$8</c:f>
              <c:strCache>
                <c:ptCount val="6"/>
                <c:pt idx="0">
                  <c:v>Automotive Campaign</c:v>
                </c:pt>
                <c:pt idx="1">
                  <c:v>Developer Campaign</c:v>
                </c:pt>
                <c:pt idx="2">
                  <c:v>Industrial Campaign</c:v>
                </c:pt>
                <c:pt idx="3">
                  <c:v>Newsletter Push</c:v>
                </c:pt>
                <c:pt idx="4">
                  <c:v>Product Launch</c:v>
                </c:pt>
                <c:pt idx="5">
                  <c:v>Q2 Awareness</c:v>
                </c:pt>
              </c:strCache>
            </c:strRef>
          </c:cat>
          <c:val>
            <c:numRef>
              <c:f>Analysis!$K$2:$K$8</c:f>
              <c:numCache>
                <c:formatCode>General</c:formatCode>
                <c:ptCount val="6"/>
                <c:pt idx="0">
                  <c:v>1077</c:v>
                </c:pt>
                <c:pt idx="1">
                  <c:v>1540</c:v>
                </c:pt>
                <c:pt idx="2">
                  <c:v>886</c:v>
                </c:pt>
                <c:pt idx="3">
                  <c:v>444</c:v>
                </c:pt>
                <c:pt idx="4">
                  <c:v>875</c:v>
                </c:pt>
                <c:pt idx="5">
                  <c:v>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3-487D-B2E5-4F854435E65B}"/>
            </c:ext>
          </c:extLst>
        </c:ser>
        <c:ser>
          <c:idx val="1"/>
          <c:order val="1"/>
          <c:tx>
            <c:strRef>
              <c:f>Analysis!$L$1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Analysis!$J$2:$J$8</c:f>
              <c:strCache>
                <c:ptCount val="6"/>
                <c:pt idx="0">
                  <c:v>Automotive Campaign</c:v>
                </c:pt>
                <c:pt idx="1">
                  <c:v>Developer Campaign</c:v>
                </c:pt>
                <c:pt idx="2">
                  <c:v>Industrial Campaign</c:v>
                </c:pt>
                <c:pt idx="3">
                  <c:v>Newsletter Push</c:v>
                </c:pt>
                <c:pt idx="4">
                  <c:v>Product Launch</c:v>
                </c:pt>
                <c:pt idx="5">
                  <c:v>Q2 Awareness</c:v>
                </c:pt>
              </c:strCache>
            </c:strRef>
          </c:cat>
          <c:val>
            <c:numRef>
              <c:f>Analysis!$L$2:$L$8</c:f>
              <c:numCache>
                <c:formatCode>General</c:formatCode>
                <c:ptCount val="6"/>
                <c:pt idx="0">
                  <c:v>2432</c:v>
                </c:pt>
                <c:pt idx="1">
                  <c:v>3700</c:v>
                </c:pt>
                <c:pt idx="2">
                  <c:v>2023</c:v>
                </c:pt>
                <c:pt idx="3">
                  <c:v>1010</c:v>
                </c:pt>
                <c:pt idx="4">
                  <c:v>2033</c:v>
                </c:pt>
                <c:pt idx="5">
                  <c:v>2493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3-487D-B2E5-4F854435E65B}"/>
            </c:ext>
          </c:extLst>
        </c:ser>
        <c:ser>
          <c:idx val="2"/>
          <c:order val="2"/>
          <c:tx>
            <c:strRef>
              <c:f>Analysis!$M$1</c:f>
              <c:strCache>
                <c:ptCount val="1"/>
                <c:pt idx="0">
                  <c:v>Average of Click_Through_Rate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Analysis!$J$2:$J$8</c:f>
              <c:strCache>
                <c:ptCount val="6"/>
                <c:pt idx="0">
                  <c:v>Automotive Campaign</c:v>
                </c:pt>
                <c:pt idx="1">
                  <c:v>Developer Campaign</c:v>
                </c:pt>
                <c:pt idx="2">
                  <c:v>Industrial Campaign</c:v>
                </c:pt>
                <c:pt idx="3">
                  <c:v>Newsletter Push</c:v>
                </c:pt>
                <c:pt idx="4">
                  <c:v>Product Launch</c:v>
                </c:pt>
                <c:pt idx="5">
                  <c:v>Q2 Awareness</c:v>
                </c:pt>
              </c:strCache>
            </c:strRef>
          </c:cat>
          <c:val>
            <c:numRef>
              <c:f>Analysis!$M$2:$M$8</c:f>
              <c:numCache>
                <c:formatCode>0.00%</c:formatCode>
                <c:ptCount val="6"/>
                <c:pt idx="0">
                  <c:v>2.5432494450532313E-2</c:v>
                </c:pt>
                <c:pt idx="1">
                  <c:v>2.5637471056075709E-2</c:v>
                </c:pt>
                <c:pt idx="2">
                  <c:v>2.6815821053396728E-2</c:v>
                </c:pt>
                <c:pt idx="3">
                  <c:v>2.6800073906260519E-2</c:v>
                </c:pt>
                <c:pt idx="4">
                  <c:v>2.6913583466370163E-2</c:v>
                </c:pt>
                <c:pt idx="5">
                  <c:v>2.9597338859691662E-2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13-487D-B2E5-4F854435E65B}"/>
            </c:ext>
          </c:extLst>
        </c:ser>
        <c:ser>
          <c:idx val="3"/>
          <c:order val="3"/>
          <c:tx>
            <c:strRef>
              <c:f>Analysis!$N$1</c:f>
              <c:strCache>
                <c:ptCount val="1"/>
                <c:pt idx="0">
                  <c:v>Average of Cost_Per_Lead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Analysis!$J$2:$J$8</c:f>
              <c:strCache>
                <c:ptCount val="6"/>
                <c:pt idx="0">
                  <c:v>Automotive Campaign</c:v>
                </c:pt>
                <c:pt idx="1">
                  <c:v>Developer Campaign</c:v>
                </c:pt>
                <c:pt idx="2">
                  <c:v>Industrial Campaign</c:v>
                </c:pt>
                <c:pt idx="3">
                  <c:v>Newsletter Push</c:v>
                </c:pt>
                <c:pt idx="4">
                  <c:v>Product Launch</c:v>
                </c:pt>
                <c:pt idx="5">
                  <c:v>Q2 Awareness</c:v>
                </c:pt>
              </c:strCache>
            </c:strRef>
          </c:cat>
          <c:val>
            <c:numRef>
              <c:f>Analysis!$N$2:$N$8</c:f>
              <c:numCache>
                <c:formatCode>"$"#,##0.00</c:formatCode>
                <c:ptCount val="6"/>
                <c:pt idx="0">
                  <c:v>9.1701920342010332</c:v>
                </c:pt>
                <c:pt idx="1">
                  <c:v>5.0054471561262739</c:v>
                </c:pt>
                <c:pt idx="2">
                  <c:v>6.5729163495198435</c:v>
                </c:pt>
                <c:pt idx="3">
                  <c:v>5.0983124346917448</c:v>
                </c:pt>
                <c:pt idx="4">
                  <c:v>6.4739385981527722</c:v>
                </c:pt>
                <c:pt idx="5">
                  <c:v>7.2752860385238813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13-487D-B2E5-4F854435E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7417607"/>
        <c:axId val="907427847"/>
      </c:barChart>
      <c:catAx>
        <c:axId val="907417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27847"/>
        <c:crosses val="autoZero"/>
        <c:auto val="1"/>
        <c:lblAlgn val="ctr"/>
        <c:lblOffset val="100"/>
        <c:noMultiLvlLbl val="0"/>
      </c:catAx>
      <c:valAx>
        <c:axId val="907427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1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5</xdr:col>
      <xdr:colOff>590550</xdr:colOff>
      <xdr:row>21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390BB-17EC-4707-882B-7A4925B44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11</xdr:col>
      <xdr:colOff>1057275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95E100-EF62-4538-954C-91F0A24D145C}"/>
            </a:ext>
            <a:ext uri="{147F2762-F138-4A5C-976F-8EAC2B608ADB}">
              <a16:predDERef xmlns:a16="http://schemas.microsoft.com/office/drawing/2014/main" pred="{776390BB-17EC-4707-882B-7A4925B44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8292F9-3F83-4085-BAEC-2BCA9B82D281}"/>
            </a:ext>
            <a:ext uri="{147F2762-F138-4A5C-976F-8EAC2B608ADB}">
              <a16:predDERef xmlns:a16="http://schemas.microsoft.com/office/drawing/2014/main" pred="{1995E100-EF62-4538-954C-91F0A24D1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11</xdr:col>
      <xdr:colOff>1057275</xdr:colOff>
      <xdr:row>38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5E10BF-34BA-4EFC-BE28-0EB170AE3B85}"/>
            </a:ext>
            <a:ext uri="{147F2762-F138-4A5C-976F-8EAC2B608ADB}">
              <a16:predDERef xmlns:a16="http://schemas.microsoft.com/office/drawing/2014/main" pred="{CA8292F9-3F83-4085-BAEC-2BCA9B82D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600075</xdr:colOff>
      <xdr:row>26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109AE2-0295-70A9-AC62-FCA2E417470F}"/>
            </a:ext>
          </a:extLst>
        </xdr:cNvPr>
        <xdr:cNvSpPr txBox="1"/>
      </xdr:nvSpPr>
      <xdr:spPr>
        <a:xfrm>
          <a:off x="0" y="0"/>
          <a:ext cx="9744075" cy="495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1">
              <a:latin typeface="+mn-lt"/>
              <a:ea typeface="+mn-lt"/>
              <a:cs typeface="+mn-lt"/>
            </a:rPr>
            <a:t>Marketing Data Quality Dashboard</a:t>
          </a:r>
        </a:p>
        <a:p>
          <a:pPr marL="0" indent="0" algn="l"/>
          <a:endParaRPr lang="en-US" sz="1100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u="sng">
              <a:latin typeface="+mn-lt"/>
              <a:ea typeface="+mn-lt"/>
              <a:cs typeface="+mn-lt"/>
            </a:rPr>
            <a:t>Purpose</a:t>
          </a:r>
          <a:r>
            <a:rPr lang="en-US" sz="1100">
              <a:latin typeface="+mn-lt"/>
              <a:ea typeface="+mn-lt"/>
              <a:cs typeface="+mn-lt"/>
            </a:rPr>
            <a:t>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This workbook demonstrates basic data governance, marketing data cleaning, and reporting using a fictional semiconductor-related marketing/product dataset.</a:t>
          </a:r>
        </a:p>
        <a:p>
          <a:pPr marL="0" indent="0" algn="l"/>
          <a:endParaRPr lang="en-US" sz="1100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u="sng">
              <a:latin typeface="+mn-lt"/>
              <a:ea typeface="+mn-lt"/>
              <a:cs typeface="+mn-lt"/>
            </a:rPr>
            <a:t>Process</a:t>
          </a:r>
          <a:r>
            <a:rPr lang="en-US" sz="1100">
              <a:latin typeface="+mn-lt"/>
              <a:ea typeface="+mn-lt"/>
              <a:cs typeface="+mn-lt"/>
            </a:rPr>
            <a:t>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1. Created a fictional raw marketing dataset.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2. Added realistic data quality issues such as duplicates, missing values, inconsistent region names, inconsistent status values, and outdated records.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3. Cleaned and standardized the dataset.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4. Added data quality checks for incomplete and outdated records.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5. Calculated click-through rate and cost per lead.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6. Created pivot table analysis.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7. Built a dashboard with KPIs and charts.</a:t>
          </a:r>
        </a:p>
        <a:p>
          <a:pPr marL="0" indent="0" algn="l"/>
          <a:endParaRPr lang="en-US" sz="1100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u="sng">
              <a:latin typeface="+mn-lt"/>
              <a:ea typeface="+mn-lt"/>
              <a:cs typeface="+mn-lt"/>
            </a:rPr>
            <a:t>Skills Demonstrated</a:t>
          </a:r>
          <a:r>
            <a:rPr lang="en-US" sz="1100" u="none">
              <a:latin typeface="+mn-lt"/>
              <a:ea typeface="+mn-lt"/>
              <a:cs typeface="+mn-lt"/>
            </a:rPr>
            <a:t>:</a:t>
          </a:r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Microsoft Excel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Data cleaning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Structured tables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Data quality checks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Formulas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Pivot tables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KPI reporting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Dashboard creation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Marketing data visualization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- Technical documentation</a:t>
          </a:r>
        </a:p>
        <a:p>
          <a:pPr marL="0" indent="0" algn="l"/>
          <a:endParaRPr lang="en-US" sz="1100" u="sng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 u="sng">
              <a:latin typeface="+mn-lt"/>
              <a:ea typeface="+mn-lt"/>
              <a:cs typeface="+mn-lt"/>
            </a:rPr>
            <a:t>Note</a:t>
          </a:r>
          <a:r>
            <a:rPr lang="en-US" sz="1100">
              <a:latin typeface="+mn-lt"/>
              <a:ea typeface="+mn-lt"/>
              <a:cs typeface="+mn-lt"/>
            </a:rPr>
            <a:t>: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All data used in this workbook is fictional and created only for demonstration purposes.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52.753465162037" createdVersion="8" refreshedVersion="8" minRefreshableVersion="3" recordCount="50" xr:uid="{832F3749-A800-43C5-B998-7F80C2C1CB76}">
  <cacheSource type="worksheet">
    <worksheetSource name="CleanMarketingData"/>
  </cacheSource>
  <cacheFields count="17">
    <cacheField name="Product_ID" numFmtId="0">
      <sharedItems count="50">
        <s v="IFX-001"/>
        <s v="IFX-002"/>
        <s v="IFX-003"/>
        <s v="IFX-004"/>
        <s v="IFX-005"/>
        <s v="IFX-006"/>
        <s v="IFX-007"/>
        <s v="IFX-008"/>
        <s v="IFX-009"/>
        <s v="IFX-010"/>
        <s v="IFX-011"/>
        <s v="IFX-012"/>
        <s v="IFX-013"/>
        <s v="IFX-014"/>
        <s v="IFX-015"/>
        <s v="IFX-016"/>
        <s v="IFX-017"/>
        <s v="IFX-018"/>
        <s v="IFX-019"/>
        <s v="IFX-020"/>
        <s v="IFX-021"/>
        <s v="IFX-022"/>
        <s v="IFX-023"/>
        <s v="IFX-024"/>
        <s v="IFX-025"/>
        <s v="IFX-026"/>
        <s v="IFX-027"/>
        <s v="IFX-028"/>
        <s v="IFX-029"/>
        <s v="IFX-030"/>
        <s v="IFX-031"/>
        <s v="IFX-032"/>
        <s v="IFX-033"/>
        <s v="IFX-034"/>
        <s v="IFX-035"/>
        <s v="IFX-036"/>
        <s v="IFX-037"/>
        <s v="IFX-038"/>
        <s v="IFX-039"/>
        <s v="IFX-040"/>
        <s v="IFX-041"/>
        <s v="IFX-042"/>
        <s v="IFX-043"/>
        <s v="IFX-044"/>
        <s v="IFX-045"/>
        <s v="IFX-046"/>
        <s v="IFX-047"/>
        <s v="IFX-048"/>
        <s v="IFX-049"/>
        <s v="IFX-050"/>
      </sharedItems>
    </cacheField>
    <cacheField name="Product_Name" numFmtId="0">
      <sharedItems/>
    </cacheField>
    <cacheField name="Product_Family" numFmtId="0">
      <sharedItems containsBlank="1" count="7">
        <s v="Power Management"/>
        <s v="Sensors"/>
        <s v="Microcontrollers"/>
        <s v="Automotive"/>
        <s v="Security ICs"/>
        <s v="Connectivity"/>
        <m/>
      </sharedItems>
    </cacheField>
    <cacheField name="Region" numFmtId="0">
      <sharedItems count="3">
        <s v="EMEA"/>
        <s v="APAC"/>
        <s v="Americas"/>
      </sharedItems>
    </cacheField>
    <cacheField name="Channel" numFmtId="0">
      <sharedItems/>
    </cacheField>
    <cacheField name="Campaign" numFmtId="0">
      <sharedItems count="6">
        <s v="Q2 Awareness"/>
        <s v="Product Launch"/>
        <s v="Developer Campaign"/>
        <s v="Automotive Campaign"/>
        <s v="Industrial Campaign"/>
        <s v="Newsletter Push"/>
      </sharedItems>
    </cacheField>
    <cacheField name="Leads" numFmtId="0">
      <sharedItems containsSemiMixedTypes="0" containsString="0" containsNumber="1" containsInteger="1" minValue="55" maxValue="195"/>
    </cacheField>
    <cacheField name="Clicks" numFmtId="0">
      <sharedItems containsSemiMixedTypes="0" containsString="0" containsNumber="1" containsInteger="1" minValue="112" maxValue="460"/>
    </cacheField>
    <cacheField name="Impressions" numFmtId="0">
      <sharedItems containsSemiMixedTypes="0" containsString="0" containsNumber="1" containsInteger="1" minValue="4400" maxValue="18200"/>
    </cacheField>
    <cacheField name="Budget_EUR" numFmtId="0">
      <sharedItems containsSemiMixedTypes="0" containsString="0" containsNumber="1" containsInteger="1" minValue="380" maxValue="1250"/>
    </cacheField>
    <cacheField name="Owner" numFmtId="0">
      <sharedItems containsBlank="1"/>
    </cacheField>
    <cacheField name="Last_Updated" numFmtId="0">
      <sharedItems containsNonDate="0" containsDate="1" containsString="0" containsBlank="1" minDate="2026-03-08T00:00:00" maxDate="2026-05-08T00:00:00"/>
    </cacheField>
    <cacheField name="Status" numFmtId="0">
      <sharedItems/>
    </cacheField>
    <cacheField name="Data_Quality_Flag" numFmtId="0">
      <sharedItems count="2">
        <s v="Complete"/>
        <s v="Incomplete"/>
      </sharedItems>
    </cacheField>
    <cacheField name="Update_Status" numFmtId="0">
      <sharedItems/>
    </cacheField>
    <cacheField name="Click_Through_Rate" numFmtId="10">
      <sharedItems containsSemiMixedTypes="0" containsString="0" containsNumber="1" minValue="1.8367346938775512E-2" maxValue="3.5950413223140493E-2"/>
    </cacheField>
    <cacheField name="Cost_Per_Lead" numFmtId="164">
      <sharedItems containsSemiMixedTypes="0" containsString="0" containsNumber="1" minValue="3.9" maxValue="11.5789473684210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Power MOSFET A"/>
    <x v="0"/>
    <x v="0"/>
    <s v="LinkedIn"/>
    <x v="0"/>
    <n v="120"/>
    <n v="430"/>
    <n v="12000"/>
    <n v="850"/>
    <s v="Marketing Ops"/>
    <d v="2026-05-01T00:00:00"/>
    <s v="Active"/>
    <x v="0"/>
    <s v="Up-to-date"/>
    <n v="3.5833333333333335E-2"/>
    <n v="7.083333333333333"/>
  </r>
  <r>
    <x v="1"/>
    <s v="Sensor Module B"/>
    <x v="1"/>
    <x v="1"/>
    <s v="Webinar"/>
    <x v="1"/>
    <n v="85"/>
    <n v="210"/>
    <n v="7000"/>
    <n v="620"/>
    <s v="Product Marketing"/>
    <d v="2026-04-28T00:00:00"/>
    <s v="Active"/>
    <x v="0"/>
    <s v="Up-to-date"/>
    <n v="0.03"/>
    <n v="7.2941176470588234"/>
  </r>
  <r>
    <x v="2"/>
    <s v="MCU Starter Kit"/>
    <x v="2"/>
    <x v="2"/>
    <s v="Email"/>
    <x v="2"/>
    <n v="160"/>
    <n v="390"/>
    <n v="15000"/>
    <n v="740"/>
    <s v="Sales Enablement"/>
    <d v="2026-04-22T00:00:00"/>
    <s v="Review"/>
    <x v="0"/>
    <s v="Up-to-date"/>
    <n v="2.5999999999999999E-2"/>
    <n v="4.625"/>
  </r>
  <r>
    <x v="3"/>
    <s v="Automotive Radar Sensor"/>
    <x v="3"/>
    <x v="0"/>
    <s v="Trade Fair"/>
    <x v="3"/>
    <n v="95"/>
    <n v="180"/>
    <n v="9800"/>
    <n v="1100"/>
    <s v="Application Engineering"/>
    <d v="2026-03-15T00:00:00"/>
    <s v="Active"/>
    <x v="0"/>
    <s v="Needs Update"/>
    <n v="1.8367346938775512E-2"/>
    <n v="11.578947368421053"/>
  </r>
  <r>
    <x v="4"/>
    <s v="Security Controller X"/>
    <x v="4"/>
    <x v="0"/>
    <s v="Website"/>
    <x v="4"/>
    <n v="70"/>
    <n v="155"/>
    <n v="6200"/>
    <n v="480"/>
    <s v="Digital Marketing"/>
    <d v="2026-05-03T00:00:00"/>
    <s v="Active"/>
    <x v="0"/>
    <s v="Up-to-date"/>
    <n v="2.5000000000000001E-2"/>
    <n v="6.8571428571428568"/>
  </r>
  <r>
    <x v="5"/>
    <s v="Bluetooth Module C"/>
    <x v="5"/>
    <x v="1"/>
    <s v="Newsletter"/>
    <x v="5"/>
    <n v="135"/>
    <n v="310"/>
    <n v="11200"/>
    <n v="540"/>
    <s v="Marketing Ops"/>
    <d v="2026-04-05T00:00:00"/>
    <s v="Completed"/>
    <x v="0"/>
    <s v="Needs Update"/>
    <n v="2.7678571428571427E-2"/>
    <n v="4"/>
  </r>
  <r>
    <x v="6"/>
    <s v="Gate Driver IC"/>
    <x v="0"/>
    <x v="0"/>
    <s v="LinkedIn"/>
    <x v="0"/>
    <n v="105"/>
    <n v="275"/>
    <n v="9100"/>
    <n v="670"/>
    <s v="Product Marketing"/>
    <d v="2026-05-06T00:00:00"/>
    <s v="Active"/>
    <x v="0"/>
    <s v="Up-to-date"/>
    <n v="3.021978021978022E-2"/>
    <n v="6.3809523809523814"/>
  </r>
  <r>
    <x v="7"/>
    <s v="Voltage Regulator Pro"/>
    <x v="0"/>
    <x v="2"/>
    <s v="Email"/>
    <x v="1"/>
    <n v="150"/>
    <n v="360"/>
    <n v="13500"/>
    <n v="790"/>
    <s v="Sales Enablement"/>
    <d v="2026-04-18T00:00:00"/>
    <s v="Review"/>
    <x v="0"/>
    <s v="Up-to-date"/>
    <n v="2.6666666666666668E-2"/>
    <n v="5.2666666666666666"/>
  </r>
  <r>
    <x v="8"/>
    <s v="Pressure Sensor Plus"/>
    <x v="1"/>
    <x v="1"/>
    <s v="Webinar"/>
    <x v="4"/>
    <n v="90"/>
    <n v="220"/>
    <n v="7600"/>
    <n v="610"/>
    <s v="Application Engineering"/>
    <d v="2026-03-28T00:00:00"/>
    <s v="Paused"/>
    <x v="0"/>
    <s v="Needs Update"/>
    <n v="2.8947368421052631E-2"/>
    <n v="6.7777777777777777"/>
  </r>
  <r>
    <x v="9"/>
    <s v="Industrial MCU Board"/>
    <x v="2"/>
    <x v="0"/>
    <s v="Website"/>
    <x v="2"/>
    <n v="175"/>
    <n v="420"/>
    <n v="16800"/>
    <n v="900"/>
    <s v="Digital Marketing"/>
    <d v="2026-05-02T00:00:00"/>
    <s v="Active"/>
    <x v="0"/>
    <s v="Up-to-date"/>
    <n v="2.5000000000000001E-2"/>
    <n v="5.1428571428571432"/>
  </r>
  <r>
    <x v="10"/>
    <s v="Smart Power Switch"/>
    <x v="0"/>
    <x v="0"/>
    <s v="Trade Fair"/>
    <x v="3"/>
    <n v="115"/>
    <n v="260"/>
    <n v="10200"/>
    <n v="980"/>
    <s v="Marketing Ops"/>
    <d v="2026-03-20T00:00:00"/>
    <s v="Review"/>
    <x v="0"/>
    <s v="Needs Update"/>
    <n v="2.5490196078431372E-2"/>
    <n v="8.5217391304347831"/>
  </r>
  <r>
    <x v="11"/>
    <s v="NFC Security IC"/>
    <x v="4"/>
    <x v="1"/>
    <s v="LinkedIn"/>
    <x v="1"/>
    <n v="65"/>
    <n v="140"/>
    <n v="5300"/>
    <n v="430"/>
    <s v="Product Marketing"/>
    <d v="2026-04-25T00:00:00"/>
    <s v="Active"/>
    <x v="0"/>
    <s v="Up-to-date"/>
    <n v="2.6415094339622643E-2"/>
    <n v="6.615384615384615"/>
  </r>
  <r>
    <x v="12"/>
    <s v="Radar Evaluation Kit"/>
    <x v="3"/>
    <x v="2"/>
    <s v="Webinar"/>
    <x v="3"/>
    <n v="140"/>
    <n v="330"/>
    <n v="12100"/>
    <n v="1250"/>
    <s v="Application Engineering"/>
    <d v="2026-05-04T00:00:00"/>
    <s v="Active"/>
    <x v="0"/>
    <s v="Up-to-date"/>
    <n v="2.7272727272727271E-2"/>
    <n v="8.9285714285714288"/>
  </r>
  <r>
    <x v="13"/>
    <s v="Temperature Sensor Mini"/>
    <x v="1"/>
    <x v="0"/>
    <s v="Newsletter"/>
    <x v="5"/>
    <n v="100"/>
    <n v="240"/>
    <n v="8700"/>
    <n v="390"/>
    <s v="Digital Marketing"/>
    <d v="2026-04-02T00:00:00"/>
    <s v="Completed"/>
    <x v="0"/>
    <s v="Needs Update"/>
    <n v="2.7586206896551724E-2"/>
    <n v="3.9"/>
  </r>
  <r>
    <x v="14"/>
    <s v="WiFi Control Module"/>
    <x v="5"/>
    <x v="1"/>
    <s v="Email"/>
    <x v="2"/>
    <n v="155"/>
    <n v="370"/>
    <n v="14300"/>
    <n v="820"/>
    <s v="Sales Enablement"/>
    <d v="2026-03-30T00:00:00"/>
    <s v="Active"/>
    <x v="0"/>
    <s v="Needs Update"/>
    <n v="2.5874125874125874E-2"/>
    <n v="5.290322580645161"/>
  </r>
  <r>
    <x v="15"/>
    <s v="Motor Control IC"/>
    <x v="3"/>
    <x v="0"/>
    <s v="LinkedIn"/>
    <x v="4"/>
    <n v="130"/>
    <n v="295"/>
    <n v="11800"/>
    <n v="950"/>
    <s v="Marketing Ops"/>
    <d v="2026-04-29T00:00:00"/>
    <s v="Review"/>
    <x v="0"/>
    <s v="Up-to-date"/>
    <n v="2.5000000000000001E-2"/>
    <n v="7.3076923076923075"/>
  </r>
  <r>
    <x v="16"/>
    <s v="Embedded Security Chip"/>
    <x v="4"/>
    <x v="2"/>
    <s v="Website"/>
    <x v="0"/>
    <n v="80"/>
    <n v="170"/>
    <n v="6400"/>
    <n v="520"/>
    <s v="Product Marketing"/>
    <d v="2026-05-05T00:00:00"/>
    <s v="Active"/>
    <x v="0"/>
    <s v="Up-to-date"/>
    <n v="2.6562499999999999E-2"/>
    <n v="6.5"/>
  </r>
  <r>
    <x v="17"/>
    <s v="Power Management Board"/>
    <x v="0"/>
    <x v="1"/>
    <s v="Trade Fair"/>
    <x v="1"/>
    <n v="145"/>
    <n v="350"/>
    <n v="13200"/>
    <n v="870"/>
    <s v="Application Engineering"/>
    <d v="2026-04-10T00:00:00"/>
    <s v="Paused"/>
    <x v="0"/>
    <s v="Up-to-date"/>
    <n v="2.6515151515151516E-2"/>
    <n v="6"/>
  </r>
  <r>
    <x v="18"/>
    <s v="Proximity Sensor Kit"/>
    <x v="1"/>
    <x v="0"/>
    <s v="Webinar"/>
    <x v="4"/>
    <n v="75"/>
    <n v="165"/>
    <n v="5900"/>
    <n v="460"/>
    <s v="Digital Marketing"/>
    <d v="2026-03-18T00:00:00"/>
    <s v="Review"/>
    <x v="0"/>
    <s v="Needs Update"/>
    <n v="2.7966101694915254E-2"/>
    <n v="6.1333333333333337"/>
  </r>
  <r>
    <x v="19"/>
    <s v="MCU Development Board"/>
    <x v="2"/>
    <x v="2"/>
    <s v="Newsletter"/>
    <x v="2"/>
    <n v="190"/>
    <n v="450"/>
    <n v="18000"/>
    <n v="990"/>
    <s v="Sales Enablement"/>
    <d v="2026-05-07T00:00:00"/>
    <s v="Active"/>
    <x v="0"/>
    <s v="Up-to-date"/>
    <n v="2.5000000000000001E-2"/>
    <n v="5.2105263157894735"/>
  </r>
  <r>
    <x v="20"/>
    <s v="Automotive Control Unit"/>
    <x v="3"/>
    <x v="0"/>
    <s v="Email"/>
    <x v="3"/>
    <n v="125"/>
    <n v="285"/>
    <n v="10900"/>
    <n v="1150"/>
    <s v="Application Engineering"/>
    <d v="2026-04-15T00:00:00"/>
    <s v="Active"/>
    <x v="0"/>
    <s v="Up-to-date"/>
    <n v="2.614678899082569E-2"/>
    <n v="9.1999999999999993"/>
  </r>
  <r>
    <x v="21"/>
    <s v="Secure Payment IC"/>
    <x v="4"/>
    <x v="1"/>
    <s v="LinkedIn"/>
    <x v="1"/>
    <n v="60"/>
    <n v="125"/>
    <n v="4900"/>
    <n v="410"/>
    <s v="Marketing Ops"/>
    <d v="2026-04-01T00:00:00"/>
    <s v="Completed"/>
    <x v="0"/>
    <s v="Needs Update"/>
    <n v="2.5510204081632654E-2"/>
    <n v="6.833333333333333"/>
  </r>
  <r>
    <x v="22"/>
    <s v="Low Power Bluetooth IC"/>
    <x v="5"/>
    <x v="2"/>
    <s v="Website"/>
    <x v="0"/>
    <n v="110"/>
    <n v="270"/>
    <n v="9400"/>
    <n v="630"/>
    <s v="Digital Marketing"/>
    <d v="2026-05-06T00:00:00"/>
    <s v="Active"/>
    <x v="0"/>
    <s v="Up-to-date"/>
    <n v="2.8723404255319149E-2"/>
    <n v="5.7272727272727275"/>
  </r>
  <r>
    <x v="23"/>
    <s v="Current Sensor Module"/>
    <x v="1"/>
    <x v="0"/>
    <s v="Trade Fair"/>
    <x v="4"/>
    <n v="88"/>
    <n v="205"/>
    <n v="7300"/>
    <n v="570"/>
    <s v="Product Marketing"/>
    <d v="2026-03-25T00:00:00"/>
    <s v="Paused"/>
    <x v="0"/>
    <s v="Needs Update"/>
    <n v="2.8082191780821917E-2"/>
    <n v="6.4772727272727275"/>
  </r>
  <r>
    <x v="24"/>
    <s v="High Voltage Gate Driver"/>
    <x v="0"/>
    <x v="1"/>
    <s v="Webinar"/>
    <x v="3"/>
    <n v="118"/>
    <n v="265"/>
    <n v="10100"/>
    <n v="1020"/>
    <s v="Sales Enablement"/>
    <d v="2026-04-20T00:00:00"/>
    <s v="Review"/>
    <x v="0"/>
    <s v="Up-to-date"/>
    <n v="2.6237623762376237E-2"/>
    <n v="8.6440677966101696"/>
  </r>
  <r>
    <x v="25"/>
    <s v="MCU Starter Kit"/>
    <x v="2"/>
    <x v="0"/>
    <s v="Email"/>
    <x v="2"/>
    <n v="165"/>
    <n v="400"/>
    <n v="15400"/>
    <n v="760"/>
    <s v="Application Engineering"/>
    <d v="2026-05-01T00:00:00"/>
    <s v="Active"/>
    <x v="0"/>
    <s v="Up-to-date"/>
    <n v="2.5974025974025976E-2"/>
    <n v="4.6060606060606064"/>
  </r>
  <r>
    <x v="26"/>
    <s v="Automotive Radar Sensor"/>
    <x v="3"/>
    <x v="1"/>
    <s v="LinkedIn"/>
    <x v="0"/>
    <n v="102"/>
    <n v="235"/>
    <n v="8800"/>
    <n v="1040"/>
    <s v="Marketing Ops"/>
    <d v="2026-04-27T00:00:00"/>
    <s v="Active"/>
    <x v="0"/>
    <s v="Up-to-date"/>
    <n v="2.6704545454545453E-2"/>
    <n v="10.196078431372548"/>
  </r>
  <r>
    <x v="27"/>
    <s v="Security Controller X"/>
    <x v="4"/>
    <x v="2"/>
    <s v="Newsletter"/>
    <x v="5"/>
    <n v="58"/>
    <n v="118"/>
    <n v="4500"/>
    <n v="390"/>
    <s v="Product Marketing"/>
    <d v="2026-03-10T00:00:00"/>
    <s v="Completed"/>
    <x v="0"/>
    <s v="Needs Update"/>
    <n v="2.6222222222222223E-2"/>
    <n v="6.7241379310344831"/>
  </r>
  <r>
    <x v="28"/>
    <s v="Voltage Regulator Pro"/>
    <x v="0"/>
    <x v="0"/>
    <s v="Website"/>
    <x v="4"/>
    <n v="142"/>
    <n v="325"/>
    <n v="12700"/>
    <n v="810"/>
    <s v="Digital Marketing"/>
    <d v="2026-05-03T00:00:00"/>
    <s v="Active"/>
    <x v="0"/>
    <s v="Up-to-date"/>
    <n v="2.5590551181102362E-2"/>
    <n v="5.704225352112676"/>
  </r>
  <r>
    <x v="29"/>
    <s v="Sensor Module B"/>
    <x v="1"/>
    <x v="1"/>
    <s v="Trade Fair"/>
    <x v="1"/>
    <n v="92"/>
    <n v="215"/>
    <n v="7900"/>
    <n v="650"/>
    <s v="Application Engineering"/>
    <d v="2026-04-06T00:00:00"/>
    <s v="Review"/>
    <x v="0"/>
    <s v="Needs Update"/>
    <n v="2.7215189873417721E-2"/>
    <n v="7.0652173913043477"/>
  </r>
  <r>
    <x v="30"/>
    <s v="Power MOSFET A"/>
    <x v="0"/>
    <x v="0"/>
    <s v="LinkedIn"/>
    <x v="0"/>
    <n v="122"/>
    <n v="435"/>
    <n v="12100"/>
    <n v="855"/>
    <s v="Marketing Ops"/>
    <d v="2026-05-01T00:00:00"/>
    <s v="Active"/>
    <x v="0"/>
    <s v="Up-to-date"/>
    <n v="3.5950413223140493E-2"/>
    <n v="7.0081967213114753"/>
  </r>
  <r>
    <x v="31"/>
    <s v="Industrial MCU Board"/>
    <x v="2"/>
    <x v="2"/>
    <s v="Webinar"/>
    <x v="2"/>
    <n v="180"/>
    <n v="440"/>
    <n v="17200"/>
    <n v="930"/>
    <s v="Sales Enablement"/>
    <d v="2026-04-21T00:00:00"/>
    <s v="Active"/>
    <x v="0"/>
    <s v="Up-to-date"/>
    <n v="2.5581395348837209E-2"/>
    <n v="5.166666666666667"/>
  </r>
  <r>
    <x v="32"/>
    <s v="Smart Power Switch"/>
    <x v="6"/>
    <x v="0"/>
    <s v="Email"/>
    <x v="3"/>
    <n v="108"/>
    <n v="250"/>
    <n v="9700"/>
    <n v="940"/>
    <s v="Product Marketing"/>
    <d v="2026-03-12T00:00:00"/>
    <s v="Review"/>
    <x v="1"/>
    <s v="Needs Update"/>
    <n v="2.5773195876288658E-2"/>
    <n v="8.7037037037037042"/>
  </r>
  <r>
    <x v="33"/>
    <s v="NFC Security IC"/>
    <x v="4"/>
    <x v="1"/>
    <s v="Website"/>
    <x v="1"/>
    <n v="68"/>
    <n v="148"/>
    <n v="5400"/>
    <n v="440"/>
    <m/>
    <d v="2026-05-04T00:00:00"/>
    <s v="Active"/>
    <x v="1"/>
    <s v="Up-to-date"/>
    <n v="2.7407407407407408E-2"/>
    <n v="6.4705882352941178"/>
  </r>
  <r>
    <x v="34"/>
    <s v="Radar Evaluation Kit"/>
    <x v="3"/>
    <x v="2"/>
    <s v="Trade Fair"/>
    <x v="3"/>
    <n v="138"/>
    <n v="322"/>
    <n v="11900"/>
    <n v="1240"/>
    <s v="Application Engineering"/>
    <m/>
    <s v="Paused"/>
    <x v="1"/>
    <s v="Needs Update"/>
    <n v="2.7058823529411764E-2"/>
    <n v="8.9855072463768124"/>
  </r>
  <r>
    <x v="35"/>
    <s v="Temperature Sensor Mini"/>
    <x v="1"/>
    <x v="0"/>
    <s v="Newsletter"/>
    <x v="5"/>
    <n v="96"/>
    <n v="230"/>
    <n v="8500"/>
    <n v="380"/>
    <s v="Digital Marketing"/>
    <d v="2026-04-03T00:00:00"/>
    <s v="Completed"/>
    <x v="0"/>
    <s v="Needs Update"/>
    <n v="2.7058823529411764E-2"/>
    <n v="3.9583333333333335"/>
  </r>
  <r>
    <x v="36"/>
    <s v="WiFi Control Module"/>
    <x v="5"/>
    <x v="1"/>
    <s v="Email"/>
    <x v="2"/>
    <n v="152"/>
    <n v="365"/>
    <n v="14000"/>
    <n v="805"/>
    <s v="Sales Enablement"/>
    <d v="2026-03-29T00:00:00"/>
    <s v="Active"/>
    <x v="0"/>
    <s v="Needs Update"/>
    <n v="2.6071428571428572E-2"/>
    <n v="5.2960526315789478"/>
  </r>
  <r>
    <x v="37"/>
    <s v="Motor Control IC"/>
    <x v="3"/>
    <x v="0"/>
    <s v="LinkedIn"/>
    <x v="4"/>
    <n v="128"/>
    <n v="290"/>
    <n v="11600"/>
    <n v="940"/>
    <m/>
    <d v="2026-04-30T00:00:00"/>
    <s v="Review"/>
    <x v="1"/>
    <s v="Up-to-date"/>
    <n v="2.5000000000000001E-2"/>
    <n v="7.34375"/>
  </r>
  <r>
    <x v="38"/>
    <s v="Embedded Security Chip"/>
    <x v="4"/>
    <x v="2"/>
    <s v="Website"/>
    <x v="0"/>
    <n v="82"/>
    <n v="175"/>
    <n v="6500"/>
    <n v="530"/>
    <s v="Product Marketing"/>
    <d v="2026-05-05T00:00:00"/>
    <s v="Active"/>
    <x v="0"/>
    <s v="Up-to-date"/>
    <n v="2.6923076923076925E-2"/>
    <n v="6.4634146341463419"/>
  </r>
  <r>
    <x v="39"/>
    <s v="Power Management Board"/>
    <x v="0"/>
    <x v="1"/>
    <s v="Trade Fair"/>
    <x v="1"/>
    <n v="148"/>
    <n v="355"/>
    <n v="13400"/>
    <n v="880"/>
    <s v="Application Engineering"/>
    <d v="2026-04-11T00:00:00"/>
    <s v="Paused"/>
    <x v="0"/>
    <s v="Up-to-date"/>
    <n v="2.6492537313432835E-2"/>
    <n v="5.9459459459459456"/>
  </r>
  <r>
    <x v="40"/>
    <s v="Proximity Sensor Kit"/>
    <x v="1"/>
    <x v="0"/>
    <s v="Webinar"/>
    <x v="4"/>
    <n v="78"/>
    <n v="170"/>
    <n v="6100"/>
    <n v="470"/>
    <s v="Digital Marketing"/>
    <d v="2026-03-16T00:00:00"/>
    <s v="Review"/>
    <x v="0"/>
    <s v="Needs Update"/>
    <n v="2.7868852459016394E-2"/>
    <n v="6.0256410256410255"/>
  </r>
  <r>
    <x v="41"/>
    <s v="MCU Development Board"/>
    <x v="2"/>
    <x v="2"/>
    <s v="Newsletter"/>
    <x v="2"/>
    <n v="195"/>
    <n v="460"/>
    <n v="18200"/>
    <n v="1000"/>
    <s v="Sales Enablement"/>
    <d v="2026-05-06T00:00:00"/>
    <s v="Active"/>
    <x v="0"/>
    <s v="Up-to-date"/>
    <n v="2.5274725274725275E-2"/>
    <n v="5.1282051282051286"/>
  </r>
  <r>
    <x v="42"/>
    <s v="Automotive Control Unit"/>
    <x v="3"/>
    <x v="0"/>
    <s v="Email"/>
    <x v="3"/>
    <n v="122"/>
    <n v="280"/>
    <n v="10600"/>
    <n v="1130"/>
    <s v="Application Engineering"/>
    <d v="2026-04-13T00:00:00"/>
    <s v="Active"/>
    <x v="0"/>
    <s v="Up-to-date"/>
    <n v="2.6415094339622643E-2"/>
    <n v="9.2622950819672134"/>
  </r>
  <r>
    <x v="43"/>
    <s v="Secure Payment IC"/>
    <x v="4"/>
    <x v="1"/>
    <s v="LinkedIn"/>
    <x v="1"/>
    <n v="62"/>
    <n v="130"/>
    <n v="5000"/>
    <n v="420"/>
    <s v="Marketing Ops"/>
    <d v="2026-04-02T00:00:00"/>
    <s v="Completed"/>
    <x v="0"/>
    <s v="Needs Update"/>
    <n v="2.5999999999999999E-2"/>
    <n v="6.774193548387097"/>
  </r>
  <r>
    <x v="44"/>
    <s v="Low Power Bluetooth IC"/>
    <x v="5"/>
    <x v="2"/>
    <s v="Website"/>
    <x v="0"/>
    <n v="112"/>
    <n v="275"/>
    <n v="9500"/>
    <n v="640"/>
    <s v="Digital Marketing"/>
    <d v="2026-05-07T00:00:00"/>
    <s v="Active"/>
    <x v="0"/>
    <s v="Up-to-date"/>
    <n v="2.8947368421052631E-2"/>
    <n v="5.7142857142857144"/>
  </r>
  <r>
    <x v="45"/>
    <s v="Current Sensor Module"/>
    <x v="1"/>
    <x v="0"/>
    <s v="Trade Fair"/>
    <x v="4"/>
    <n v="85"/>
    <n v="198"/>
    <n v="7100"/>
    <n v="555"/>
    <s v="Product Marketing"/>
    <m/>
    <s v="Paused"/>
    <x v="1"/>
    <s v="Needs Update"/>
    <n v="2.7887323943661974E-2"/>
    <n v="6.5294117647058822"/>
  </r>
  <r>
    <x v="46"/>
    <s v="High Voltage Gate Driver"/>
    <x v="0"/>
    <x v="1"/>
    <s v="Webinar"/>
    <x v="3"/>
    <n v="116"/>
    <n v="260"/>
    <n v="9950"/>
    <n v="1010"/>
    <s v="Sales Enablement"/>
    <d v="2026-04-19T00:00:00"/>
    <s v="Review"/>
    <x v="0"/>
    <s v="Up-to-date"/>
    <n v="2.6130653266331658E-2"/>
    <n v="8.7068965517241388"/>
  </r>
  <r>
    <x v="47"/>
    <s v="MCU Starter Kit"/>
    <x v="2"/>
    <x v="0"/>
    <s v="Email"/>
    <x v="2"/>
    <n v="168"/>
    <n v="405"/>
    <n v="15600"/>
    <n v="770"/>
    <s v="Application Engineering"/>
    <d v="2026-05-02T00:00:00"/>
    <s v="Active"/>
    <x v="0"/>
    <s v="Up-to-date"/>
    <n v="2.5961538461538463E-2"/>
    <n v="4.583333333333333"/>
  </r>
  <r>
    <x v="48"/>
    <s v="Automotive Radar Sensor"/>
    <x v="3"/>
    <x v="1"/>
    <s v="LinkedIn"/>
    <x v="0"/>
    <n v="99"/>
    <n v="228"/>
    <n v="8600"/>
    <n v="1030"/>
    <s v="Marketing Ops"/>
    <d v="2026-04-24T00:00:00"/>
    <s v="Active"/>
    <x v="0"/>
    <s v="Up-to-date"/>
    <n v="2.6511627906976743E-2"/>
    <n v="10.404040404040405"/>
  </r>
  <r>
    <x v="49"/>
    <s v="Security Controller X"/>
    <x v="4"/>
    <x v="2"/>
    <s v="Newsletter"/>
    <x v="5"/>
    <n v="55"/>
    <n v="112"/>
    <n v="4400"/>
    <n v="380"/>
    <s v="Product Marketing"/>
    <d v="2026-03-08T00:00:00"/>
    <s v="Completed"/>
    <x v="0"/>
    <s v="Needs Update"/>
    <n v="2.5454545454545455E-2"/>
    <n v="6.90909090909090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B3258-1B85-4F8C-8EDC-AA2F59844E04}" name="Leads by Product Family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9" firstHeaderRow="1" firstDataRow="1" firstDataCol="1"/>
  <pivotFields count="17">
    <pivotField compact="0" outline="0" showAll="0"/>
    <pivotField compact="0" outline="0" showAll="0"/>
    <pivotField axis="axisRow" compact="0" outline="0" showAll="0">
      <items count="8">
        <item x="3"/>
        <item x="5"/>
        <item x="2"/>
        <item x="0"/>
        <item x="4"/>
        <item x="1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numFmtId="164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Leads" fld="6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9E45C-03BF-4394-A97D-2929CA201EA9}" name="PivotTable4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J1:N8" firstHeaderRow="0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2"/>
        <item x="4"/>
        <item x="5"/>
        <item x="1"/>
        <item x="0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0" outline="0" showAll="0"/>
    <pivotField dataField="1" compact="0" numFmtId="164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eads" fld="6" baseField="0" baseItem="0"/>
    <dataField name="Sum of Clicks" fld="7" baseField="0" baseItem="0"/>
    <dataField name="Average of Click_Through_Rate" fld="15" subtotal="average" baseField="0" baseItem="0" numFmtId="10"/>
    <dataField name="Average of Cost_Per_Lead" fld="16" subtotal="average" baseField="0" baseItem="0" numFmtId="164"/>
  </dataFields>
  <chartFormats count="1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6D814-9978-4945-9727-EF3A40B3A29E}" name="Data Quality Summary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1:H4" firstHeaderRow="1" firstDataRow="1" firstDataCol="1"/>
  <pivotFields count="17">
    <pivotField dataField="1" compact="0" outline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0" outline="0" showAll="0"/>
    <pivotField compact="0" numFmtId="164" outline="0"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Product_ID" fld="0" subtotal="count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7EF43-C9F9-41A6-AC94-7CD4AF780D64}" name="Budget by Region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:E5" firstHeaderRow="1" firstDataRow="1" firstDataCol="1"/>
  <pivotFields count="17"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0" outline="0" showAll="0"/>
    <pivotField compact="0" numFmtId="164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Budget_EUR" fld="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F7012-F36D-4521-9757-2DC3E7884C17}" name="RawMarketingData" displayName="RawMarketingData" ref="A1:M57" totalsRowShown="0">
  <autoFilter ref="A1:M57" xr:uid="{677F7012-F36D-4521-9757-2DC3E7884C17}"/>
  <tableColumns count="13">
    <tableColumn id="1" xr3:uid="{6E52A017-4AA7-4580-A0DE-5078A16F99F6}" name="Product_ID" dataDxfId="22"/>
    <tableColumn id="2" xr3:uid="{4EBAB655-B453-4F10-B81B-6D850C93CCF9}" name="Product_Name"/>
    <tableColumn id="3" xr3:uid="{8F6A3E28-0448-4C4E-87A3-DB1042F00DCE}" name="Product_Family"/>
    <tableColumn id="4" xr3:uid="{443F89DC-9C26-4ACE-AA01-00F588DC033F}" name="Region"/>
    <tableColumn id="5" xr3:uid="{FB993599-1010-4974-A7D0-41CC20CB46C0}" name="Channel"/>
    <tableColumn id="6" xr3:uid="{1E180B17-9844-491C-BC43-305F8062DD44}" name="Campaign"/>
    <tableColumn id="7" xr3:uid="{E836A51D-72DB-4C70-B48F-2B2B0D76D651}" name="Leads"/>
    <tableColumn id="8" xr3:uid="{1578E486-836E-4465-B11B-BECDB821CAB7}" name="Clicks"/>
    <tableColumn id="9" xr3:uid="{5FAA090C-9FE0-4AEF-A865-72373D640B96}" name="Impressions"/>
    <tableColumn id="10" xr3:uid="{E0DEF857-58C6-4218-B665-72DAF425762E}" name="Budget_EUR"/>
    <tableColumn id="11" xr3:uid="{BE16E3D4-073D-46AA-BB00-D4E68FC108E8}" name="Owner"/>
    <tableColumn id="12" xr3:uid="{EC640F39-7AC3-42E3-A7A2-4268D72DB14D}" name="Last_Updated" dataDxfId="21"/>
    <tableColumn id="13" xr3:uid="{6C817DC3-26DD-483A-A541-5180B9698783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844CB7-7E3E-4B60-ACE9-932BC745966F}" name="CleanMarketingData" displayName="CleanMarketingData" ref="A1:Q51" totalsRowShown="0" headerRowDxfId="18" dataDxfId="17">
  <autoFilter ref="A1:Q51" xr:uid="{B3844CB7-7E3E-4B60-ACE9-932BC745966F}"/>
  <tableColumns count="17">
    <tableColumn id="1" xr3:uid="{F6894FB7-E6E4-4713-9073-6C9923D97914}" name="Product_ID" dataDxfId="16"/>
    <tableColumn id="2" xr3:uid="{3E82507E-59D3-4845-ABB1-FDEEA52B801B}" name="Product_Name" dataDxfId="15"/>
    <tableColumn id="3" xr3:uid="{00C6A171-D10A-41FC-BE43-E803943875BD}" name="Product_Family" dataDxfId="14"/>
    <tableColumn id="4" xr3:uid="{BD1E66D7-1F98-46F6-ACC7-821EF9A9D4BF}" name="Region" dataDxfId="13"/>
    <tableColumn id="5" xr3:uid="{2B59EE84-977F-474E-B6F8-EA6C33108857}" name="Channel" dataDxfId="12"/>
    <tableColumn id="6" xr3:uid="{480EB707-670D-48EE-ABA1-66649AB0F8C9}" name="Campaign" dataDxfId="11"/>
    <tableColumn id="7" xr3:uid="{B02ADD44-58FD-481E-A936-8640CD37DEE9}" name="Leads" dataDxfId="10"/>
    <tableColumn id="8" xr3:uid="{2EBF9B12-70BB-4E7B-AFD4-4BE04ED785F0}" name="Clicks" dataDxfId="9"/>
    <tableColumn id="9" xr3:uid="{6388AD9B-17B4-46C0-824D-CB47FE431E93}" name="Impressions" dataDxfId="8"/>
    <tableColumn id="10" xr3:uid="{80B7347A-0A92-4EE0-A7A7-33E2053E6181}" name="Budget_EUR" dataDxfId="7"/>
    <tableColumn id="11" xr3:uid="{B34A9A5A-0B90-4554-B289-9311D8864965}" name="Owner" dataDxfId="6"/>
    <tableColumn id="12" xr3:uid="{FE32D0D8-7B0E-4CB8-A9C6-66F87D8E8106}" name="Last_Updated" dataDxfId="5"/>
    <tableColumn id="13" xr3:uid="{F8C8FF7D-5837-493C-9E89-98E83BD275C7}" name="Status" dataDxfId="4"/>
    <tableColumn id="19" xr3:uid="{49ADC626-D52D-4838-B321-7748AD33DFE6}" name="Data_Quality_Flag" dataDxfId="3">
      <calculatedColumnFormula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calculatedColumnFormula>
    </tableColumn>
    <tableColumn id="20" xr3:uid="{53C3BA7B-C21F-478F-8611-1BC25D89D0C5}" name="Update_Status" dataDxfId="2">
      <calculatedColumnFormula>IF(CleanMarketingData[[#This Row],[Last_Updated]]="","Needs Update",IF(TODAY()-CleanMarketingData[[#This Row],[Last_Updated]]&gt;30,"Needs Update","Up-to-date"))</calculatedColumnFormula>
    </tableColumn>
    <tableColumn id="21" xr3:uid="{F6E1F42D-851C-4DD9-9363-FA8AEC38533F}" name="Click_Through_Rate" dataDxfId="1">
      <calculatedColumnFormula>IF(CleanMarketingData[[#This Row],[Impressions]]=0,0,CleanMarketingData[[#This Row],[Clicks]]/CleanMarketingData[[#This Row],[Impressions]])</calculatedColumnFormula>
    </tableColumn>
    <tableColumn id="22" xr3:uid="{C05A78C9-B628-4B3A-B79A-F1E04D32A187}" name="Cost_Per_Lead" dataDxfId="0">
      <calculatedColumnFormula>IF(CleanMarketingData[[#This Row],[Leads]]=0,0,CleanMarketingData[[#This Row],[Budget_EUR]]/CleanMarketingData[[#This Row],[Leads]])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workbookViewId="0">
      <selection activeCell="A2" sqref="A2"/>
    </sheetView>
  </sheetViews>
  <sheetFormatPr defaultRowHeight="15"/>
  <cols>
    <col min="1" max="1" width="36.5703125" bestFit="1" customWidth="1"/>
    <col min="2" max="2" width="24.28515625" bestFit="1" customWidth="1"/>
    <col min="3" max="3" width="18.5703125" bestFit="1" customWidth="1"/>
    <col min="4" max="4" width="9.28515625" bestFit="1" customWidth="1"/>
    <col min="5" max="5" width="10.42578125" bestFit="1" customWidth="1"/>
    <col min="6" max="6" width="20.28515625" bestFit="1" customWidth="1"/>
    <col min="9" max="9" width="13.85546875" bestFit="1" customWidth="1"/>
    <col min="10" max="10" width="14.140625" bestFit="1" customWidth="1"/>
    <col min="11" max="11" width="21.5703125" bestFit="1" customWidth="1"/>
    <col min="12" max="12" width="15.42578125" bestFit="1" customWidth="1"/>
    <col min="13" max="13" width="10.42578125" bestFit="1" customWidth="1"/>
  </cols>
  <sheetData>
    <row r="1" spans="1:1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120</v>
      </c>
      <c r="H2">
        <v>430</v>
      </c>
      <c r="I2">
        <v>12000</v>
      </c>
      <c r="J2">
        <v>850</v>
      </c>
      <c r="K2" t="s">
        <v>19</v>
      </c>
      <c r="L2" s="2">
        <v>46143</v>
      </c>
      <c r="M2" t="s">
        <v>20</v>
      </c>
    </row>
    <row r="3" spans="1:13">
      <c r="A3" s="1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85</v>
      </c>
      <c r="H3">
        <v>210</v>
      </c>
      <c r="I3">
        <v>7000</v>
      </c>
      <c r="J3">
        <v>620</v>
      </c>
      <c r="K3" t="s">
        <v>27</v>
      </c>
      <c r="L3" s="2">
        <v>46140</v>
      </c>
      <c r="M3" t="s">
        <v>20</v>
      </c>
    </row>
    <row r="4" spans="1:13">
      <c r="A4" s="1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>
        <v>160</v>
      </c>
      <c r="H4">
        <v>390</v>
      </c>
      <c r="I4">
        <v>15000</v>
      </c>
      <c r="J4">
        <v>740</v>
      </c>
      <c r="K4" t="s">
        <v>34</v>
      </c>
      <c r="L4" s="2">
        <v>46134</v>
      </c>
      <c r="M4" t="s">
        <v>35</v>
      </c>
    </row>
    <row r="5" spans="1:13">
      <c r="A5" s="1" t="s">
        <v>36</v>
      </c>
      <c r="B5" t="s">
        <v>37</v>
      </c>
      <c r="C5" t="s">
        <v>38</v>
      </c>
      <c r="D5" t="s">
        <v>16</v>
      </c>
      <c r="E5" t="s">
        <v>39</v>
      </c>
      <c r="F5" t="s">
        <v>40</v>
      </c>
      <c r="G5">
        <v>95</v>
      </c>
      <c r="H5">
        <v>180</v>
      </c>
      <c r="I5">
        <v>9800</v>
      </c>
      <c r="J5">
        <v>1100</v>
      </c>
      <c r="K5" t="s">
        <v>41</v>
      </c>
      <c r="L5" s="2">
        <v>46096</v>
      </c>
      <c r="M5" t="s">
        <v>42</v>
      </c>
    </row>
    <row r="6" spans="1:13">
      <c r="A6" s="1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>
        <v>70</v>
      </c>
      <c r="H6">
        <v>155</v>
      </c>
      <c r="I6">
        <v>6200</v>
      </c>
      <c r="J6">
        <v>480</v>
      </c>
      <c r="K6" t="s">
        <v>49</v>
      </c>
      <c r="L6" s="2">
        <v>46145</v>
      </c>
      <c r="M6" t="s">
        <v>50</v>
      </c>
    </row>
    <row r="7" spans="1:13">
      <c r="A7" s="1" t="s">
        <v>51</v>
      </c>
      <c r="B7" t="s">
        <v>52</v>
      </c>
      <c r="C7" t="s">
        <v>53</v>
      </c>
      <c r="D7" t="s">
        <v>24</v>
      </c>
      <c r="E7" t="s">
        <v>54</v>
      </c>
      <c r="F7" t="s">
        <v>55</v>
      </c>
      <c r="G7">
        <v>135</v>
      </c>
      <c r="H7">
        <v>310</v>
      </c>
      <c r="I7">
        <v>11200</v>
      </c>
      <c r="J7">
        <v>540</v>
      </c>
      <c r="K7" t="s">
        <v>19</v>
      </c>
      <c r="L7" s="2">
        <v>46117</v>
      </c>
      <c r="M7" t="s">
        <v>56</v>
      </c>
    </row>
    <row r="8" spans="1:13">
      <c r="A8" s="1" t="s">
        <v>57</v>
      </c>
      <c r="B8" t="s">
        <v>58</v>
      </c>
      <c r="C8" t="s">
        <v>15</v>
      </c>
      <c r="D8" t="s">
        <v>59</v>
      </c>
      <c r="E8" t="s">
        <v>17</v>
      </c>
      <c r="F8" t="s">
        <v>18</v>
      </c>
      <c r="G8">
        <v>105</v>
      </c>
      <c r="H8">
        <v>275</v>
      </c>
      <c r="I8">
        <v>9100</v>
      </c>
      <c r="J8">
        <v>670</v>
      </c>
      <c r="K8" t="s">
        <v>27</v>
      </c>
      <c r="L8" s="2">
        <v>46148</v>
      </c>
      <c r="M8" t="s">
        <v>20</v>
      </c>
    </row>
    <row r="9" spans="1:13">
      <c r="A9" s="1" t="s">
        <v>60</v>
      </c>
      <c r="B9" t="s">
        <v>61</v>
      </c>
      <c r="C9" t="s">
        <v>15</v>
      </c>
      <c r="D9" t="s">
        <v>31</v>
      </c>
      <c r="E9" t="s">
        <v>32</v>
      </c>
      <c r="F9" t="s">
        <v>26</v>
      </c>
      <c r="G9">
        <v>150</v>
      </c>
      <c r="H9">
        <v>360</v>
      </c>
      <c r="I9">
        <v>13500</v>
      </c>
      <c r="J9">
        <v>790</v>
      </c>
      <c r="K9" t="s">
        <v>34</v>
      </c>
      <c r="L9" s="2">
        <v>46130</v>
      </c>
      <c r="M9" t="s">
        <v>35</v>
      </c>
    </row>
    <row r="10" spans="1:13">
      <c r="A10" s="1" t="s">
        <v>62</v>
      </c>
      <c r="B10" t="s">
        <v>63</v>
      </c>
      <c r="C10" t="s">
        <v>23</v>
      </c>
      <c r="D10" t="s">
        <v>24</v>
      </c>
      <c r="E10" t="s">
        <v>25</v>
      </c>
      <c r="F10" t="s">
        <v>48</v>
      </c>
      <c r="G10">
        <v>90</v>
      </c>
      <c r="H10">
        <v>220</v>
      </c>
      <c r="I10">
        <v>7600</v>
      </c>
      <c r="J10">
        <v>610</v>
      </c>
      <c r="K10" t="s">
        <v>41</v>
      </c>
      <c r="L10" s="2">
        <v>46109</v>
      </c>
      <c r="M10" t="s">
        <v>64</v>
      </c>
    </row>
    <row r="11" spans="1:13">
      <c r="A11" s="1" t="s">
        <v>65</v>
      </c>
      <c r="B11" t="s">
        <v>66</v>
      </c>
      <c r="C11" t="s">
        <v>30</v>
      </c>
      <c r="D11" t="s">
        <v>16</v>
      </c>
      <c r="E11" t="s">
        <v>47</v>
      </c>
      <c r="F11" t="s">
        <v>33</v>
      </c>
      <c r="G11">
        <v>175</v>
      </c>
      <c r="H11">
        <v>420</v>
      </c>
      <c r="I11">
        <v>16800</v>
      </c>
      <c r="J11">
        <v>900</v>
      </c>
      <c r="K11" t="s">
        <v>49</v>
      </c>
      <c r="L11" s="2">
        <v>46144</v>
      </c>
      <c r="M11" t="s">
        <v>20</v>
      </c>
    </row>
    <row r="12" spans="1:13">
      <c r="A12" s="1" t="s">
        <v>67</v>
      </c>
      <c r="B12" t="s">
        <v>68</v>
      </c>
      <c r="C12" t="s">
        <v>15</v>
      </c>
      <c r="D12" t="s">
        <v>46</v>
      </c>
      <c r="E12" t="s">
        <v>39</v>
      </c>
      <c r="F12" t="s">
        <v>40</v>
      </c>
      <c r="G12">
        <v>115</v>
      </c>
      <c r="H12">
        <v>260</v>
      </c>
      <c r="I12">
        <v>10200</v>
      </c>
      <c r="J12">
        <v>980</v>
      </c>
      <c r="K12" t="s">
        <v>19</v>
      </c>
      <c r="L12" s="2">
        <v>46101</v>
      </c>
      <c r="M12" t="s">
        <v>35</v>
      </c>
    </row>
    <row r="13" spans="1:13">
      <c r="A13" s="1" t="s">
        <v>69</v>
      </c>
      <c r="B13" t="s">
        <v>70</v>
      </c>
      <c r="C13" t="s">
        <v>45</v>
      </c>
      <c r="D13" t="s">
        <v>24</v>
      </c>
      <c r="E13" t="s">
        <v>17</v>
      </c>
      <c r="F13" t="s">
        <v>26</v>
      </c>
      <c r="G13">
        <v>65</v>
      </c>
      <c r="H13">
        <v>140</v>
      </c>
      <c r="I13">
        <v>5300</v>
      </c>
      <c r="J13">
        <v>430</v>
      </c>
      <c r="K13" t="s">
        <v>27</v>
      </c>
      <c r="L13" s="2">
        <v>46137</v>
      </c>
      <c r="M13" t="s">
        <v>20</v>
      </c>
    </row>
    <row r="14" spans="1:13">
      <c r="A14" s="1" t="s">
        <v>71</v>
      </c>
      <c r="B14" t="s">
        <v>72</v>
      </c>
      <c r="C14" t="s">
        <v>38</v>
      </c>
      <c r="D14" t="s">
        <v>31</v>
      </c>
      <c r="E14" t="s">
        <v>25</v>
      </c>
      <c r="F14" t="s">
        <v>40</v>
      </c>
      <c r="G14">
        <v>140</v>
      </c>
      <c r="H14">
        <v>330</v>
      </c>
      <c r="I14">
        <v>12100</v>
      </c>
      <c r="J14">
        <v>1250</v>
      </c>
      <c r="K14" t="s">
        <v>41</v>
      </c>
      <c r="L14" s="2">
        <v>46146</v>
      </c>
      <c r="M14" t="s">
        <v>20</v>
      </c>
    </row>
    <row r="15" spans="1:13">
      <c r="A15" s="1" t="s">
        <v>73</v>
      </c>
      <c r="B15" t="s">
        <v>74</v>
      </c>
      <c r="C15" t="s">
        <v>23</v>
      </c>
      <c r="D15" t="s">
        <v>59</v>
      </c>
      <c r="E15" t="s">
        <v>54</v>
      </c>
      <c r="F15" t="s">
        <v>55</v>
      </c>
      <c r="G15">
        <v>100</v>
      </c>
      <c r="H15">
        <v>240</v>
      </c>
      <c r="I15">
        <v>8700</v>
      </c>
      <c r="J15">
        <v>390</v>
      </c>
      <c r="K15" t="s">
        <v>49</v>
      </c>
      <c r="L15" s="2">
        <v>46114</v>
      </c>
      <c r="M15" t="s">
        <v>56</v>
      </c>
    </row>
    <row r="16" spans="1:13">
      <c r="A16" s="1" t="s">
        <v>75</v>
      </c>
      <c r="B16" t="s">
        <v>76</v>
      </c>
      <c r="C16" t="s">
        <v>53</v>
      </c>
      <c r="D16" t="s">
        <v>24</v>
      </c>
      <c r="E16" t="s">
        <v>32</v>
      </c>
      <c r="F16" t="s">
        <v>33</v>
      </c>
      <c r="G16">
        <v>155</v>
      </c>
      <c r="H16">
        <v>370</v>
      </c>
      <c r="I16">
        <v>14300</v>
      </c>
      <c r="J16">
        <v>820</v>
      </c>
      <c r="K16" t="s">
        <v>34</v>
      </c>
      <c r="L16" s="2">
        <v>46111</v>
      </c>
      <c r="M16" t="s">
        <v>42</v>
      </c>
    </row>
    <row r="17" spans="1:13">
      <c r="A17" s="1" t="s">
        <v>77</v>
      </c>
      <c r="B17" t="s">
        <v>78</v>
      </c>
      <c r="C17" t="s">
        <v>38</v>
      </c>
      <c r="D17" t="s">
        <v>16</v>
      </c>
      <c r="E17" t="s">
        <v>17</v>
      </c>
      <c r="F17" t="s">
        <v>48</v>
      </c>
      <c r="G17">
        <v>130</v>
      </c>
      <c r="H17">
        <v>295</v>
      </c>
      <c r="I17">
        <v>11800</v>
      </c>
      <c r="J17">
        <v>950</v>
      </c>
      <c r="K17" t="s">
        <v>19</v>
      </c>
      <c r="L17" s="2">
        <v>46141</v>
      </c>
      <c r="M17" t="s">
        <v>35</v>
      </c>
    </row>
    <row r="18" spans="1:13">
      <c r="A18" s="1" t="s">
        <v>79</v>
      </c>
      <c r="B18" t="s">
        <v>80</v>
      </c>
      <c r="C18" t="s">
        <v>45</v>
      </c>
      <c r="D18" t="s">
        <v>31</v>
      </c>
      <c r="E18" t="s">
        <v>47</v>
      </c>
      <c r="F18" t="s">
        <v>18</v>
      </c>
      <c r="G18">
        <v>80</v>
      </c>
      <c r="H18">
        <v>170</v>
      </c>
      <c r="I18">
        <v>6400</v>
      </c>
      <c r="J18">
        <v>520</v>
      </c>
      <c r="K18" t="s">
        <v>27</v>
      </c>
      <c r="L18" s="2">
        <v>46147</v>
      </c>
      <c r="M18" t="s">
        <v>20</v>
      </c>
    </row>
    <row r="19" spans="1:13">
      <c r="A19" s="1" t="s">
        <v>81</v>
      </c>
      <c r="B19" t="s">
        <v>82</v>
      </c>
      <c r="C19" t="s">
        <v>15</v>
      </c>
      <c r="D19" t="s">
        <v>24</v>
      </c>
      <c r="E19" t="s">
        <v>39</v>
      </c>
      <c r="F19" t="s">
        <v>26</v>
      </c>
      <c r="G19">
        <v>145</v>
      </c>
      <c r="H19">
        <v>350</v>
      </c>
      <c r="I19">
        <v>13200</v>
      </c>
      <c r="J19">
        <v>870</v>
      </c>
      <c r="K19" t="s">
        <v>41</v>
      </c>
      <c r="L19" s="2">
        <v>46122</v>
      </c>
      <c r="M19" t="s">
        <v>64</v>
      </c>
    </row>
    <row r="20" spans="1:13">
      <c r="A20" s="1" t="s">
        <v>83</v>
      </c>
      <c r="B20" t="s">
        <v>84</v>
      </c>
      <c r="C20" t="s">
        <v>23</v>
      </c>
      <c r="D20" t="s">
        <v>46</v>
      </c>
      <c r="E20" t="s">
        <v>25</v>
      </c>
      <c r="F20" t="s">
        <v>48</v>
      </c>
      <c r="G20">
        <v>75</v>
      </c>
      <c r="H20">
        <v>165</v>
      </c>
      <c r="I20">
        <v>5900</v>
      </c>
      <c r="J20">
        <v>460</v>
      </c>
      <c r="K20" t="s">
        <v>49</v>
      </c>
      <c r="L20" s="2">
        <v>46099</v>
      </c>
      <c r="M20" t="s">
        <v>35</v>
      </c>
    </row>
    <row r="21" spans="1:13">
      <c r="A21" s="1" t="s">
        <v>85</v>
      </c>
      <c r="B21" t="s">
        <v>86</v>
      </c>
      <c r="C21" t="s">
        <v>30</v>
      </c>
      <c r="D21" t="s">
        <v>31</v>
      </c>
      <c r="E21" t="s">
        <v>54</v>
      </c>
      <c r="F21" t="s">
        <v>33</v>
      </c>
      <c r="G21">
        <v>190</v>
      </c>
      <c r="H21">
        <v>450</v>
      </c>
      <c r="I21">
        <v>18000</v>
      </c>
      <c r="J21">
        <v>990</v>
      </c>
      <c r="K21" t="s">
        <v>34</v>
      </c>
      <c r="L21" s="2">
        <v>46149</v>
      </c>
      <c r="M21" t="s">
        <v>20</v>
      </c>
    </row>
    <row r="22" spans="1:13">
      <c r="A22" s="1" t="s">
        <v>87</v>
      </c>
      <c r="B22" t="s">
        <v>88</v>
      </c>
      <c r="C22" t="s">
        <v>38</v>
      </c>
      <c r="D22" t="s">
        <v>16</v>
      </c>
      <c r="E22" t="s">
        <v>32</v>
      </c>
      <c r="F22" t="s">
        <v>40</v>
      </c>
      <c r="G22">
        <v>125</v>
      </c>
      <c r="H22">
        <v>285</v>
      </c>
      <c r="I22">
        <v>10900</v>
      </c>
      <c r="J22">
        <v>1150</v>
      </c>
      <c r="K22" t="s">
        <v>41</v>
      </c>
      <c r="L22" s="2">
        <v>46127</v>
      </c>
      <c r="M22" t="s">
        <v>20</v>
      </c>
    </row>
    <row r="23" spans="1:13">
      <c r="A23" s="1" t="s">
        <v>89</v>
      </c>
      <c r="B23" t="s">
        <v>90</v>
      </c>
      <c r="C23" t="s">
        <v>45</v>
      </c>
      <c r="D23" t="s">
        <v>24</v>
      </c>
      <c r="E23" t="s">
        <v>17</v>
      </c>
      <c r="F23" t="s">
        <v>26</v>
      </c>
      <c r="G23">
        <v>60</v>
      </c>
      <c r="H23">
        <v>125</v>
      </c>
      <c r="I23">
        <v>4900</v>
      </c>
      <c r="J23">
        <v>410</v>
      </c>
      <c r="K23" t="s">
        <v>19</v>
      </c>
      <c r="L23" s="2">
        <v>46113</v>
      </c>
      <c r="M23" t="s">
        <v>56</v>
      </c>
    </row>
    <row r="24" spans="1:13">
      <c r="A24" s="1" t="s">
        <v>91</v>
      </c>
      <c r="B24" t="s">
        <v>92</v>
      </c>
      <c r="C24" t="s">
        <v>53</v>
      </c>
      <c r="D24" t="s">
        <v>31</v>
      </c>
      <c r="E24" t="s">
        <v>47</v>
      </c>
      <c r="F24" t="s">
        <v>18</v>
      </c>
      <c r="G24">
        <v>110</v>
      </c>
      <c r="H24">
        <v>270</v>
      </c>
      <c r="I24">
        <v>9400</v>
      </c>
      <c r="J24">
        <v>630</v>
      </c>
      <c r="K24" t="s">
        <v>49</v>
      </c>
      <c r="L24" s="2">
        <v>46148</v>
      </c>
      <c r="M24" t="s">
        <v>20</v>
      </c>
    </row>
    <row r="25" spans="1:13">
      <c r="A25" s="1" t="s">
        <v>93</v>
      </c>
      <c r="B25" t="s">
        <v>94</v>
      </c>
      <c r="C25" t="s">
        <v>23</v>
      </c>
      <c r="D25" t="s">
        <v>59</v>
      </c>
      <c r="E25" t="s">
        <v>39</v>
      </c>
      <c r="F25" t="s">
        <v>48</v>
      </c>
      <c r="G25">
        <v>88</v>
      </c>
      <c r="H25">
        <v>205</v>
      </c>
      <c r="I25">
        <v>7300</v>
      </c>
      <c r="J25">
        <v>570</v>
      </c>
      <c r="K25" t="s">
        <v>27</v>
      </c>
      <c r="L25" s="2">
        <v>46106</v>
      </c>
      <c r="M25" t="s">
        <v>64</v>
      </c>
    </row>
    <row r="26" spans="1:13">
      <c r="A26" s="1" t="s">
        <v>95</v>
      </c>
      <c r="B26" t="s">
        <v>96</v>
      </c>
      <c r="C26" t="s">
        <v>15</v>
      </c>
      <c r="D26" t="s">
        <v>24</v>
      </c>
      <c r="E26" t="s">
        <v>25</v>
      </c>
      <c r="F26" t="s">
        <v>40</v>
      </c>
      <c r="G26">
        <v>118</v>
      </c>
      <c r="H26">
        <v>265</v>
      </c>
      <c r="I26">
        <v>10100</v>
      </c>
      <c r="J26">
        <v>1020</v>
      </c>
      <c r="K26" t="s">
        <v>34</v>
      </c>
      <c r="L26" s="2">
        <v>46132</v>
      </c>
      <c r="M26" t="s">
        <v>35</v>
      </c>
    </row>
    <row r="27" spans="1:13">
      <c r="A27" s="1" t="s">
        <v>97</v>
      </c>
      <c r="B27" t="s">
        <v>29</v>
      </c>
      <c r="C27" t="s">
        <v>30</v>
      </c>
      <c r="D27" t="s">
        <v>46</v>
      </c>
      <c r="E27" t="s">
        <v>32</v>
      </c>
      <c r="F27" t="s">
        <v>33</v>
      </c>
      <c r="G27">
        <v>165</v>
      </c>
      <c r="H27">
        <v>400</v>
      </c>
      <c r="I27">
        <v>15400</v>
      </c>
      <c r="J27">
        <v>760</v>
      </c>
      <c r="K27" t="s">
        <v>41</v>
      </c>
      <c r="L27" s="2">
        <v>46143</v>
      </c>
      <c r="M27" t="s">
        <v>20</v>
      </c>
    </row>
    <row r="28" spans="1:13">
      <c r="A28" s="1" t="s">
        <v>98</v>
      </c>
      <c r="B28" t="s">
        <v>37</v>
      </c>
      <c r="C28" t="s">
        <v>38</v>
      </c>
      <c r="D28" t="s">
        <v>24</v>
      </c>
      <c r="E28" t="s">
        <v>17</v>
      </c>
      <c r="F28" t="s">
        <v>18</v>
      </c>
      <c r="G28">
        <v>102</v>
      </c>
      <c r="H28">
        <v>235</v>
      </c>
      <c r="I28">
        <v>8800</v>
      </c>
      <c r="J28">
        <v>1040</v>
      </c>
      <c r="K28" t="s">
        <v>19</v>
      </c>
      <c r="L28" s="2">
        <v>46139</v>
      </c>
      <c r="M28" t="s">
        <v>50</v>
      </c>
    </row>
    <row r="29" spans="1:13">
      <c r="A29" s="1" t="s">
        <v>99</v>
      </c>
      <c r="B29" t="s">
        <v>44</v>
      </c>
      <c r="C29" t="s">
        <v>45</v>
      </c>
      <c r="D29" t="s">
        <v>31</v>
      </c>
      <c r="E29" t="s">
        <v>54</v>
      </c>
      <c r="F29" t="s">
        <v>55</v>
      </c>
      <c r="G29">
        <v>58</v>
      </c>
      <c r="H29">
        <v>118</v>
      </c>
      <c r="I29">
        <v>4500</v>
      </c>
      <c r="J29">
        <v>390</v>
      </c>
      <c r="K29" t="s">
        <v>27</v>
      </c>
      <c r="L29" s="2">
        <v>46091</v>
      </c>
      <c r="M29" t="s">
        <v>56</v>
      </c>
    </row>
    <row r="30" spans="1:13">
      <c r="A30" s="1" t="s">
        <v>100</v>
      </c>
      <c r="B30" t="s">
        <v>61</v>
      </c>
      <c r="C30" t="s">
        <v>15</v>
      </c>
      <c r="D30" t="s">
        <v>16</v>
      </c>
      <c r="E30" t="s">
        <v>47</v>
      </c>
      <c r="F30" t="s">
        <v>48</v>
      </c>
      <c r="G30">
        <v>142</v>
      </c>
      <c r="H30">
        <v>325</v>
      </c>
      <c r="I30">
        <v>12700</v>
      </c>
      <c r="J30">
        <v>810</v>
      </c>
      <c r="K30" t="s">
        <v>49</v>
      </c>
      <c r="L30" s="2">
        <v>46145</v>
      </c>
      <c r="M30" t="s">
        <v>20</v>
      </c>
    </row>
    <row r="31" spans="1:13">
      <c r="A31" s="1" t="s">
        <v>101</v>
      </c>
      <c r="B31" t="s">
        <v>22</v>
      </c>
      <c r="C31" t="s">
        <v>23</v>
      </c>
      <c r="D31" t="s">
        <v>24</v>
      </c>
      <c r="E31" t="s">
        <v>39</v>
      </c>
      <c r="F31" t="s">
        <v>26</v>
      </c>
      <c r="G31">
        <v>92</v>
      </c>
      <c r="H31">
        <v>215</v>
      </c>
      <c r="I31">
        <v>7900</v>
      </c>
      <c r="J31">
        <v>650</v>
      </c>
      <c r="K31" t="s">
        <v>41</v>
      </c>
      <c r="L31" s="2">
        <v>46118</v>
      </c>
      <c r="M31" t="s">
        <v>35</v>
      </c>
    </row>
    <row r="32" spans="1:13">
      <c r="A32" s="1" t="s">
        <v>102</v>
      </c>
      <c r="B32" t="s">
        <v>103</v>
      </c>
      <c r="C32" t="s">
        <v>15</v>
      </c>
      <c r="D32" t="s">
        <v>59</v>
      </c>
      <c r="E32" t="s">
        <v>17</v>
      </c>
      <c r="F32" t="s">
        <v>18</v>
      </c>
      <c r="G32">
        <v>122</v>
      </c>
      <c r="H32">
        <v>435</v>
      </c>
      <c r="I32">
        <v>12100</v>
      </c>
      <c r="J32">
        <v>855</v>
      </c>
      <c r="K32" t="s">
        <v>19</v>
      </c>
      <c r="L32" s="2">
        <v>46143</v>
      </c>
      <c r="M32" t="s">
        <v>42</v>
      </c>
    </row>
    <row r="33" spans="1:13">
      <c r="A33" s="1" t="s">
        <v>104</v>
      </c>
      <c r="B33" t="s">
        <v>66</v>
      </c>
      <c r="C33" t="s">
        <v>30</v>
      </c>
      <c r="D33" t="s">
        <v>31</v>
      </c>
      <c r="E33" t="s">
        <v>25</v>
      </c>
      <c r="F33" t="s">
        <v>33</v>
      </c>
      <c r="G33">
        <v>180</v>
      </c>
      <c r="H33">
        <v>440</v>
      </c>
      <c r="I33">
        <v>17200</v>
      </c>
      <c r="J33">
        <v>930</v>
      </c>
      <c r="K33" t="s">
        <v>34</v>
      </c>
      <c r="L33" s="2">
        <v>46133</v>
      </c>
      <c r="M33" t="s">
        <v>20</v>
      </c>
    </row>
    <row r="34" spans="1:13">
      <c r="A34" s="1" t="s">
        <v>105</v>
      </c>
      <c r="B34" t="s">
        <v>68</v>
      </c>
      <c r="D34" t="s">
        <v>16</v>
      </c>
      <c r="E34" t="s">
        <v>32</v>
      </c>
      <c r="F34" t="s">
        <v>40</v>
      </c>
      <c r="G34">
        <v>108</v>
      </c>
      <c r="H34">
        <v>250</v>
      </c>
      <c r="I34">
        <v>9700</v>
      </c>
      <c r="J34">
        <v>940</v>
      </c>
      <c r="K34" t="s">
        <v>27</v>
      </c>
      <c r="L34" s="2">
        <v>46093</v>
      </c>
      <c r="M34" t="s">
        <v>35</v>
      </c>
    </row>
    <row r="35" spans="1:13">
      <c r="A35" s="1" t="s">
        <v>106</v>
      </c>
      <c r="B35" t="s">
        <v>70</v>
      </c>
      <c r="C35" t="s">
        <v>45</v>
      </c>
      <c r="D35" t="s">
        <v>107</v>
      </c>
      <c r="E35" t="s">
        <v>47</v>
      </c>
      <c r="F35" t="s">
        <v>26</v>
      </c>
      <c r="G35">
        <v>68</v>
      </c>
      <c r="H35">
        <v>148</v>
      </c>
      <c r="I35">
        <v>5400</v>
      </c>
      <c r="J35">
        <v>440</v>
      </c>
      <c r="L35" s="2">
        <v>46146</v>
      </c>
      <c r="M35" t="s">
        <v>20</v>
      </c>
    </row>
    <row r="36" spans="1:13">
      <c r="A36" s="1" t="s">
        <v>108</v>
      </c>
      <c r="B36" t="s">
        <v>72</v>
      </c>
      <c r="C36" t="s">
        <v>38</v>
      </c>
      <c r="D36" t="s">
        <v>31</v>
      </c>
      <c r="E36" t="s">
        <v>39</v>
      </c>
      <c r="F36" t="s">
        <v>40</v>
      </c>
      <c r="G36">
        <v>138</v>
      </c>
      <c r="H36">
        <v>322</v>
      </c>
      <c r="I36">
        <v>11900</v>
      </c>
      <c r="J36">
        <v>1240</v>
      </c>
      <c r="K36" t="s">
        <v>41</v>
      </c>
      <c r="M36" t="s">
        <v>64</v>
      </c>
    </row>
    <row r="37" spans="1:13">
      <c r="A37" s="1" t="s">
        <v>109</v>
      </c>
      <c r="B37" t="s">
        <v>74</v>
      </c>
      <c r="C37" t="s">
        <v>23</v>
      </c>
      <c r="D37" t="s">
        <v>46</v>
      </c>
      <c r="E37" t="s">
        <v>54</v>
      </c>
      <c r="F37" t="s">
        <v>55</v>
      </c>
      <c r="G37">
        <v>96</v>
      </c>
      <c r="H37">
        <v>230</v>
      </c>
      <c r="I37">
        <v>8500</v>
      </c>
      <c r="J37">
        <v>380</v>
      </c>
      <c r="K37" t="s">
        <v>49</v>
      </c>
      <c r="L37" s="2">
        <v>46115</v>
      </c>
      <c r="M37" t="s">
        <v>110</v>
      </c>
    </row>
    <row r="38" spans="1:13">
      <c r="A38" s="1" t="s">
        <v>111</v>
      </c>
      <c r="B38" t="s">
        <v>76</v>
      </c>
      <c r="C38" t="s">
        <v>53</v>
      </c>
      <c r="D38" t="s">
        <v>24</v>
      </c>
      <c r="E38" t="s">
        <v>32</v>
      </c>
      <c r="F38" t="s">
        <v>33</v>
      </c>
      <c r="G38">
        <v>152</v>
      </c>
      <c r="H38">
        <v>365</v>
      </c>
      <c r="I38">
        <v>14000</v>
      </c>
      <c r="J38">
        <v>805</v>
      </c>
      <c r="K38" t="s">
        <v>34</v>
      </c>
      <c r="L38" s="2">
        <v>46110</v>
      </c>
      <c r="M38" t="s">
        <v>20</v>
      </c>
    </row>
    <row r="39" spans="1:13">
      <c r="A39" s="1" t="s">
        <v>112</v>
      </c>
      <c r="B39" t="s">
        <v>78</v>
      </c>
      <c r="C39" t="s">
        <v>38</v>
      </c>
      <c r="D39" t="s">
        <v>16</v>
      </c>
      <c r="E39" t="s">
        <v>17</v>
      </c>
      <c r="F39" t="s">
        <v>48</v>
      </c>
      <c r="G39">
        <v>128</v>
      </c>
      <c r="H39">
        <v>290</v>
      </c>
      <c r="I39">
        <v>11600</v>
      </c>
      <c r="J39">
        <v>940</v>
      </c>
      <c r="L39" s="2">
        <v>46142</v>
      </c>
      <c r="M39" t="s">
        <v>35</v>
      </c>
    </row>
    <row r="40" spans="1:13">
      <c r="A40" s="1" t="s">
        <v>113</v>
      </c>
      <c r="B40" t="s">
        <v>80</v>
      </c>
      <c r="C40" t="s">
        <v>45</v>
      </c>
      <c r="D40" t="s">
        <v>114</v>
      </c>
      <c r="E40" t="s">
        <v>47</v>
      </c>
      <c r="F40" t="s">
        <v>18</v>
      </c>
      <c r="G40">
        <v>82</v>
      </c>
      <c r="H40">
        <v>175</v>
      </c>
      <c r="I40">
        <v>6500</v>
      </c>
      <c r="J40">
        <v>530</v>
      </c>
      <c r="K40" t="s">
        <v>27</v>
      </c>
      <c r="L40" s="2">
        <v>46147</v>
      </c>
      <c r="M40" t="s">
        <v>50</v>
      </c>
    </row>
    <row r="41" spans="1:13">
      <c r="A41" s="1" t="s">
        <v>115</v>
      </c>
      <c r="B41" t="s">
        <v>82</v>
      </c>
      <c r="C41" t="s">
        <v>15</v>
      </c>
      <c r="D41" t="s">
        <v>24</v>
      </c>
      <c r="E41" t="s">
        <v>39</v>
      </c>
      <c r="F41" t="s">
        <v>26</v>
      </c>
      <c r="G41">
        <v>148</v>
      </c>
      <c r="H41">
        <v>355</v>
      </c>
      <c r="I41">
        <v>13400</v>
      </c>
      <c r="J41">
        <v>880</v>
      </c>
      <c r="K41" t="s">
        <v>41</v>
      </c>
      <c r="L41" s="2">
        <v>46123</v>
      </c>
      <c r="M41" t="s">
        <v>64</v>
      </c>
    </row>
    <row r="42" spans="1:13">
      <c r="A42" s="1" t="s">
        <v>116</v>
      </c>
      <c r="B42" t="s">
        <v>84</v>
      </c>
      <c r="C42" t="s">
        <v>23</v>
      </c>
      <c r="D42" t="s">
        <v>16</v>
      </c>
      <c r="E42" t="s">
        <v>25</v>
      </c>
      <c r="F42" t="s">
        <v>48</v>
      </c>
      <c r="G42">
        <v>78</v>
      </c>
      <c r="H42">
        <v>170</v>
      </c>
      <c r="I42">
        <v>6100</v>
      </c>
      <c r="J42">
        <v>470</v>
      </c>
      <c r="K42" t="s">
        <v>49</v>
      </c>
      <c r="L42" s="2">
        <v>46097</v>
      </c>
      <c r="M42" t="s">
        <v>35</v>
      </c>
    </row>
    <row r="43" spans="1:13">
      <c r="A43" s="1" t="s">
        <v>117</v>
      </c>
      <c r="B43" t="s">
        <v>86</v>
      </c>
      <c r="C43" t="s">
        <v>30</v>
      </c>
      <c r="D43" t="s">
        <v>31</v>
      </c>
      <c r="E43" t="s">
        <v>54</v>
      </c>
      <c r="F43" t="s">
        <v>33</v>
      </c>
      <c r="G43">
        <v>195</v>
      </c>
      <c r="H43">
        <v>460</v>
      </c>
      <c r="I43">
        <v>18200</v>
      </c>
      <c r="J43">
        <v>1000</v>
      </c>
      <c r="K43" t="s">
        <v>34</v>
      </c>
      <c r="L43" s="2">
        <v>46148</v>
      </c>
      <c r="M43" t="s">
        <v>20</v>
      </c>
    </row>
    <row r="44" spans="1:13">
      <c r="A44" s="1" t="s">
        <v>118</v>
      </c>
      <c r="B44" t="s">
        <v>88</v>
      </c>
      <c r="C44" t="s">
        <v>38</v>
      </c>
      <c r="D44" t="s">
        <v>46</v>
      </c>
      <c r="E44" t="s">
        <v>32</v>
      </c>
      <c r="F44" t="s">
        <v>40</v>
      </c>
      <c r="G44">
        <v>122</v>
      </c>
      <c r="H44">
        <v>280</v>
      </c>
      <c r="I44">
        <v>10600</v>
      </c>
      <c r="J44">
        <v>1130</v>
      </c>
      <c r="K44" t="s">
        <v>41</v>
      </c>
      <c r="L44" s="2">
        <v>46125</v>
      </c>
      <c r="M44" t="s">
        <v>42</v>
      </c>
    </row>
    <row r="45" spans="1:13">
      <c r="A45" s="1" t="s">
        <v>119</v>
      </c>
      <c r="B45" t="s">
        <v>90</v>
      </c>
      <c r="C45" t="s">
        <v>45</v>
      </c>
      <c r="D45" t="s">
        <v>24</v>
      </c>
      <c r="E45" t="s">
        <v>17</v>
      </c>
      <c r="F45" t="s">
        <v>26</v>
      </c>
      <c r="G45">
        <v>62</v>
      </c>
      <c r="H45">
        <v>130</v>
      </c>
      <c r="I45">
        <v>5000</v>
      </c>
      <c r="J45">
        <v>420</v>
      </c>
      <c r="K45" t="s">
        <v>19</v>
      </c>
      <c r="L45" s="2">
        <v>46114</v>
      </c>
      <c r="M45" t="s">
        <v>56</v>
      </c>
    </row>
    <row r="46" spans="1:13">
      <c r="A46" s="1" t="s">
        <v>120</v>
      </c>
      <c r="B46" t="s">
        <v>92</v>
      </c>
      <c r="C46" t="s">
        <v>53</v>
      </c>
      <c r="D46" t="s">
        <v>31</v>
      </c>
      <c r="E46" t="s">
        <v>47</v>
      </c>
      <c r="F46" t="s">
        <v>18</v>
      </c>
      <c r="G46">
        <v>112</v>
      </c>
      <c r="H46">
        <v>275</v>
      </c>
      <c r="I46">
        <v>9500</v>
      </c>
      <c r="J46">
        <v>640</v>
      </c>
      <c r="K46" t="s">
        <v>49</v>
      </c>
      <c r="L46" s="2">
        <v>46149</v>
      </c>
      <c r="M46" t="s">
        <v>20</v>
      </c>
    </row>
    <row r="47" spans="1:13">
      <c r="A47" s="1" t="s">
        <v>121</v>
      </c>
      <c r="B47" t="s">
        <v>94</v>
      </c>
      <c r="C47" t="s">
        <v>23</v>
      </c>
      <c r="D47" t="s">
        <v>59</v>
      </c>
      <c r="E47" t="s">
        <v>39</v>
      </c>
      <c r="F47" t="s">
        <v>48</v>
      </c>
      <c r="G47">
        <v>85</v>
      </c>
      <c r="H47">
        <v>198</v>
      </c>
      <c r="I47">
        <v>7100</v>
      </c>
      <c r="J47">
        <v>555</v>
      </c>
      <c r="K47" t="s">
        <v>27</v>
      </c>
      <c r="M47" t="s">
        <v>64</v>
      </c>
    </row>
    <row r="48" spans="1:13">
      <c r="A48" s="1" t="s">
        <v>122</v>
      </c>
      <c r="B48" t="s">
        <v>96</v>
      </c>
      <c r="C48" t="s">
        <v>15</v>
      </c>
      <c r="D48" t="s">
        <v>24</v>
      </c>
      <c r="E48" t="s">
        <v>25</v>
      </c>
      <c r="F48" t="s">
        <v>40</v>
      </c>
      <c r="G48">
        <v>116</v>
      </c>
      <c r="H48">
        <v>260</v>
      </c>
      <c r="I48">
        <v>9950</v>
      </c>
      <c r="J48">
        <v>1010</v>
      </c>
      <c r="K48" t="s">
        <v>34</v>
      </c>
      <c r="L48" s="2">
        <v>46131</v>
      </c>
      <c r="M48" t="s">
        <v>35</v>
      </c>
    </row>
    <row r="49" spans="1:13">
      <c r="A49" s="1" t="s">
        <v>123</v>
      </c>
      <c r="B49" t="s">
        <v>29</v>
      </c>
      <c r="C49" t="s">
        <v>30</v>
      </c>
      <c r="D49" t="s">
        <v>16</v>
      </c>
      <c r="E49" t="s">
        <v>32</v>
      </c>
      <c r="F49" t="s">
        <v>33</v>
      </c>
      <c r="G49">
        <v>168</v>
      </c>
      <c r="H49">
        <v>405</v>
      </c>
      <c r="I49">
        <v>15600</v>
      </c>
      <c r="J49">
        <v>770</v>
      </c>
      <c r="K49" t="s">
        <v>41</v>
      </c>
      <c r="L49" s="2">
        <v>46144</v>
      </c>
      <c r="M49" t="s">
        <v>50</v>
      </c>
    </row>
    <row r="50" spans="1:13">
      <c r="A50" s="1" t="s">
        <v>124</v>
      </c>
      <c r="B50" t="s">
        <v>37</v>
      </c>
      <c r="C50" t="s">
        <v>38</v>
      </c>
      <c r="D50" t="s">
        <v>24</v>
      </c>
      <c r="E50" t="s">
        <v>17</v>
      </c>
      <c r="F50" t="s">
        <v>18</v>
      </c>
      <c r="G50">
        <v>99</v>
      </c>
      <c r="H50">
        <v>228</v>
      </c>
      <c r="I50">
        <v>8600</v>
      </c>
      <c r="J50">
        <v>1030</v>
      </c>
      <c r="K50" t="s">
        <v>19</v>
      </c>
      <c r="L50" s="2">
        <v>46136</v>
      </c>
      <c r="M50" t="s">
        <v>20</v>
      </c>
    </row>
    <row r="51" spans="1:13">
      <c r="A51" s="1" t="s">
        <v>125</v>
      </c>
      <c r="B51" t="s">
        <v>44</v>
      </c>
      <c r="C51" t="s">
        <v>45</v>
      </c>
      <c r="D51" t="s">
        <v>31</v>
      </c>
      <c r="E51" t="s">
        <v>54</v>
      </c>
      <c r="F51" t="s">
        <v>55</v>
      </c>
      <c r="G51">
        <v>55</v>
      </c>
      <c r="H51">
        <v>112</v>
      </c>
      <c r="I51">
        <v>4400</v>
      </c>
      <c r="J51">
        <v>380</v>
      </c>
      <c r="K51" t="s">
        <v>27</v>
      </c>
      <c r="L51" s="2">
        <v>46089</v>
      </c>
      <c r="M51" t="s">
        <v>56</v>
      </c>
    </row>
    <row r="52" spans="1:13">
      <c r="A52" s="1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>
        <v>120</v>
      </c>
      <c r="H52">
        <v>430</v>
      </c>
      <c r="I52">
        <v>12000</v>
      </c>
      <c r="J52">
        <v>850</v>
      </c>
      <c r="K52" t="s">
        <v>19</v>
      </c>
      <c r="L52" s="2">
        <v>46143</v>
      </c>
      <c r="M52" t="s">
        <v>20</v>
      </c>
    </row>
    <row r="53" spans="1:13">
      <c r="A53" s="1" t="s">
        <v>28</v>
      </c>
      <c r="B53" t="s">
        <v>29</v>
      </c>
      <c r="C53" t="s">
        <v>30</v>
      </c>
      <c r="D53" t="s">
        <v>31</v>
      </c>
      <c r="E53" t="s">
        <v>32</v>
      </c>
      <c r="F53" t="s">
        <v>33</v>
      </c>
      <c r="G53">
        <v>160</v>
      </c>
      <c r="H53">
        <v>390</v>
      </c>
      <c r="I53">
        <v>15000</v>
      </c>
      <c r="J53">
        <v>740</v>
      </c>
      <c r="K53" t="s">
        <v>34</v>
      </c>
      <c r="L53" s="2">
        <v>46134</v>
      </c>
      <c r="M53" t="s">
        <v>35</v>
      </c>
    </row>
    <row r="54" spans="1:13">
      <c r="A54" s="1" t="s">
        <v>65</v>
      </c>
      <c r="B54" t="s">
        <v>66</v>
      </c>
      <c r="C54" t="s">
        <v>30</v>
      </c>
      <c r="D54" t="s">
        <v>16</v>
      </c>
      <c r="E54" t="s">
        <v>47</v>
      </c>
      <c r="F54" t="s">
        <v>33</v>
      </c>
      <c r="G54">
        <v>175</v>
      </c>
      <c r="H54">
        <v>420</v>
      </c>
      <c r="I54">
        <v>16800</v>
      </c>
      <c r="J54">
        <v>900</v>
      </c>
      <c r="K54" t="s">
        <v>49</v>
      </c>
      <c r="L54" s="2">
        <v>46144</v>
      </c>
      <c r="M54" t="s">
        <v>20</v>
      </c>
    </row>
    <row r="55" spans="1:13">
      <c r="A55" s="1" t="s">
        <v>81</v>
      </c>
      <c r="B55" t="s">
        <v>82</v>
      </c>
      <c r="C55" t="s">
        <v>15</v>
      </c>
      <c r="D55" t="s">
        <v>24</v>
      </c>
      <c r="E55" t="s">
        <v>39</v>
      </c>
      <c r="F55" t="s">
        <v>26</v>
      </c>
      <c r="G55">
        <v>145</v>
      </c>
      <c r="H55">
        <v>350</v>
      </c>
      <c r="I55">
        <v>13200</v>
      </c>
      <c r="J55">
        <v>870</v>
      </c>
      <c r="K55" t="s">
        <v>41</v>
      </c>
      <c r="L55" s="2">
        <v>46122</v>
      </c>
      <c r="M55" t="s">
        <v>64</v>
      </c>
    </row>
    <row r="56" spans="1:13">
      <c r="A56" s="1" t="s">
        <v>91</v>
      </c>
      <c r="B56" t="s">
        <v>92</v>
      </c>
      <c r="C56" t="s">
        <v>53</v>
      </c>
      <c r="D56" t="s">
        <v>31</v>
      </c>
      <c r="E56" t="s">
        <v>47</v>
      </c>
      <c r="F56" t="s">
        <v>18</v>
      </c>
      <c r="G56">
        <v>110</v>
      </c>
      <c r="H56">
        <v>270</v>
      </c>
      <c r="I56">
        <v>9400</v>
      </c>
      <c r="J56">
        <v>630</v>
      </c>
      <c r="K56" t="s">
        <v>49</v>
      </c>
      <c r="L56" s="2">
        <v>46148</v>
      </c>
      <c r="M56" t="s">
        <v>20</v>
      </c>
    </row>
    <row r="57" spans="1:13">
      <c r="A57" s="1" t="s">
        <v>101</v>
      </c>
      <c r="B57" t="s">
        <v>22</v>
      </c>
      <c r="C57" t="s">
        <v>23</v>
      </c>
      <c r="D57" t="s">
        <v>24</v>
      </c>
      <c r="E57" t="s">
        <v>39</v>
      </c>
      <c r="F57" t="s">
        <v>26</v>
      </c>
      <c r="G57">
        <v>92</v>
      </c>
      <c r="H57">
        <v>215</v>
      </c>
      <c r="I57">
        <v>7900</v>
      </c>
      <c r="J57">
        <v>650</v>
      </c>
      <c r="K57" t="s">
        <v>41</v>
      </c>
      <c r="L57" s="2">
        <v>46118</v>
      </c>
      <c r="M57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04D0-8B8E-48C0-A7A3-D4123BC542AA}">
  <dimension ref="A1:Q51"/>
  <sheetViews>
    <sheetView tabSelected="1" workbookViewId="0">
      <selection activeCell="A36" sqref="A36"/>
    </sheetView>
  </sheetViews>
  <sheetFormatPr defaultRowHeight="15"/>
  <cols>
    <col min="1" max="1" width="36.5703125" bestFit="1" customWidth="1"/>
    <col min="2" max="2" width="24.28515625" bestFit="1" customWidth="1"/>
    <col min="3" max="3" width="24.28515625" customWidth="1"/>
    <col min="4" max="4" width="24.28515625" bestFit="1" customWidth="1"/>
    <col min="5" max="5" width="15.28515625" bestFit="1" customWidth="1"/>
    <col min="6" max="6" width="10.42578125" bestFit="1" customWidth="1"/>
    <col min="7" max="7" width="20.28515625" bestFit="1" customWidth="1"/>
    <col min="10" max="10" width="13.85546875" bestFit="1" customWidth="1"/>
    <col min="11" max="11" width="14.140625" bestFit="1" customWidth="1"/>
    <col min="12" max="12" width="21.5703125" bestFit="1" customWidth="1"/>
    <col min="13" max="13" width="15.42578125" bestFit="1" customWidth="1"/>
    <col min="14" max="15" width="36.5703125" bestFit="1" customWidth="1"/>
    <col min="16" max="16" width="17.7109375" bestFit="1" customWidth="1"/>
    <col min="17" max="17" width="36.5703125" bestFit="1" customWidth="1"/>
    <col min="18" max="18" width="13.28515625" bestFit="1" customWidth="1"/>
  </cols>
  <sheetData>
    <row r="1" spans="1:17" ht="30.7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126</v>
      </c>
      <c r="O1" s="1" t="s">
        <v>127</v>
      </c>
      <c r="P1" s="1" t="s">
        <v>128</v>
      </c>
      <c r="Q1" s="1" t="s">
        <v>129</v>
      </c>
    </row>
    <row r="2" spans="1:17">
      <c r="A2" s="1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>
        <v>120</v>
      </c>
      <c r="H2" s="3">
        <v>430</v>
      </c>
      <c r="I2" s="3">
        <v>12000</v>
      </c>
      <c r="J2" s="3">
        <v>850</v>
      </c>
      <c r="K2" s="3" t="s">
        <v>19</v>
      </c>
      <c r="L2" s="4">
        <v>46143</v>
      </c>
      <c r="M2" s="3" t="s">
        <v>20</v>
      </c>
      <c r="N2" s="1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2" s="1" t="str">
        <f ca="1">IF(CleanMarketingData[[#This Row],[Last_Updated]]="","Needs Update",IF(TODAY()-CleanMarketingData[[#This Row],[Last_Updated]]&gt;30,"Needs Update","Up-to-date"))</f>
        <v>Up-to-date</v>
      </c>
      <c r="P2" s="5">
        <f>IF(CleanMarketingData[[#This Row],[Impressions]]=0,0,CleanMarketingData[[#This Row],[Clicks]]/CleanMarketingData[[#This Row],[Impressions]])</f>
        <v>3.5833333333333335E-2</v>
      </c>
      <c r="Q2" s="6">
        <f>IF(CleanMarketingData[[#This Row],[Leads]]=0,0,CleanMarketingData[[#This Row],[Budget_EUR]]/CleanMarketingData[[#This Row],[Leads]])</f>
        <v>7.083333333333333</v>
      </c>
    </row>
    <row r="3" spans="1:17">
      <c r="A3" s="1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>
        <v>85</v>
      </c>
      <c r="H3" s="3">
        <v>210</v>
      </c>
      <c r="I3" s="3">
        <v>7000</v>
      </c>
      <c r="J3" s="3">
        <v>620</v>
      </c>
      <c r="K3" s="3" t="s">
        <v>27</v>
      </c>
      <c r="L3" s="4">
        <v>46140</v>
      </c>
      <c r="M3" s="3" t="s">
        <v>20</v>
      </c>
      <c r="N3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3" s="3" t="str">
        <f ca="1">IF(CleanMarketingData[[#This Row],[Last_Updated]]="","Needs Update",IF(TODAY()-CleanMarketingData[[#This Row],[Last_Updated]]&gt;30,"Needs Update","Up-to-date"))</f>
        <v>Up-to-date</v>
      </c>
      <c r="P3" s="5">
        <f>IF(CleanMarketingData[[#This Row],[Impressions]]=0,0,CleanMarketingData[[#This Row],[Clicks]]/CleanMarketingData[[#This Row],[Impressions]])</f>
        <v>0.03</v>
      </c>
      <c r="Q3" s="7">
        <f>IF(CleanMarketingData[[#This Row],[Leads]]=0,0,CleanMarketingData[[#This Row],[Budget_EUR]]/CleanMarketingData[[#This Row],[Leads]])</f>
        <v>7.2941176470588234</v>
      </c>
    </row>
    <row r="4" spans="1:17">
      <c r="A4" s="1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>
        <v>160</v>
      </c>
      <c r="H4" s="3">
        <v>390</v>
      </c>
      <c r="I4" s="3">
        <v>15000</v>
      </c>
      <c r="J4" s="3">
        <v>740</v>
      </c>
      <c r="K4" s="3" t="s">
        <v>34</v>
      </c>
      <c r="L4" s="4">
        <v>46134</v>
      </c>
      <c r="M4" s="3" t="s">
        <v>35</v>
      </c>
      <c r="N4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4" s="3" t="str">
        <f ca="1">IF(CleanMarketingData[[#This Row],[Last_Updated]]="","Needs Update",IF(TODAY()-CleanMarketingData[[#This Row],[Last_Updated]]&gt;30,"Needs Update","Up-to-date"))</f>
        <v>Up-to-date</v>
      </c>
      <c r="P4" s="5">
        <f>IF(CleanMarketingData[[#This Row],[Impressions]]=0,0,CleanMarketingData[[#This Row],[Clicks]]/CleanMarketingData[[#This Row],[Impressions]])</f>
        <v>2.5999999999999999E-2</v>
      </c>
      <c r="Q4" s="7">
        <f>IF(CleanMarketingData[[#This Row],[Leads]]=0,0,CleanMarketingData[[#This Row],[Budget_EUR]]/CleanMarketingData[[#This Row],[Leads]])</f>
        <v>4.625</v>
      </c>
    </row>
    <row r="5" spans="1:17">
      <c r="A5" s="1" t="s">
        <v>36</v>
      </c>
      <c r="B5" s="3" t="s">
        <v>37</v>
      </c>
      <c r="C5" s="3" t="s">
        <v>38</v>
      </c>
      <c r="D5" s="3" t="s">
        <v>16</v>
      </c>
      <c r="E5" s="3" t="s">
        <v>39</v>
      </c>
      <c r="F5" s="3" t="s">
        <v>40</v>
      </c>
      <c r="G5" s="3">
        <v>95</v>
      </c>
      <c r="H5" s="3">
        <v>180</v>
      </c>
      <c r="I5" s="3">
        <v>9800</v>
      </c>
      <c r="J5" s="3">
        <v>1100</v>
      </c>
      <c r="K5" s="3" t="s">
        <v>41</v>
      </c>
      <c r="L5" s="4">
        <v>46096</v>
      </c>
      <c r="M5" s="3" t="s">
        <v>20</v>
      </c>
      <c r="N5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5" s="3" t="str">
        <f ca="1">IF(CleanMarketingData[[#This Row],[Last_Updated]]="","Needs Update",IF(TODAY()-CleanMarketingData[[#This Row],[Last_Updated]]&gt;30,"Needs Update","Up-to-date"))</f>
        <v>Needs Update</v>
      </c>
      <c r="P5" s="5">
        <f>IF(CleanMarketingData[[#This Row],[Impressions]]=0,0,CleanMarketingData[[#This Row],[Clicks]]/CleanMarketingData[[#This Row],[Impressions]])</f>
        <v>1.8367346938775512E-2</v>
      </c>
      <c r="Q5" s="7">
        <f>IF(CleanMarketingData[[#This Row],[Leads]]=0,0,CleanMarketingData[[#This Row],[Budget_EUR]]/CleanMarketingData[[#This Row],[Leads]])</f>
        <v>11.578947368421053</v>
      </c>
    </row>
    <row r="6" spans="1:17">
      <c r="A6" s="1" t="s">
        <v>43</v>
      </c>
      <c r="B6" s="3" t="s">
        <v>44</v>
      </c>
      <c r="C6" s="3" t="s">
        <v>45</v>
      </c>
      <c r="D6" s="3" t="s">
        <v>16</v>
      </c>
      <c r="E6" s="3" t="s">
        <v>47</v>
      </c>
      <c r="F6" s="3" t="s">
        <v>48</v>
      </c>
      <c r="G6" s="3">
        <v>70</v>
      </c>
      <c r="H6" s="3">
        <v>155</v>
      </c>
      <c r="I6" s="3">
        <v>6200</v>
      </c>
      <c r="J6" s="3">
        <v>480</v>
      </c>
      <c r="K6" s="3" t="s">
        <v>49</v>
      </c>
      <c r="L6" s="4">
        <v>46145</v>
      </c>
      <c r="M6" s="3" t="s">
        <v>20</v>
      </c>
      <c r="N6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6" s="3" t="str">
        <f ca="1">IF(CleanMarketingData[[#This Row],[Last_Updated]]="","Needs Update",IF(TODAY()-CleanMarketingData[[#This Row],[Last_Updated]]&gt;30,"Needs Update","Up-to-date"))</f>
        <v>Up-to-date</v>
      </c>
      <c r="P6" s="5">
        <f>IF(CleanMarketingData[[#This Row],[Impressions]]=0,0,CleanMarketingData[[#This Row],[Clicks]]/CleanMarketingData[[#This Row],[Impressions]])</f>
        <v>2.5000000000000001E-2</v>
      </c>
      <c r="Q6" s="7">
        <f>IF(CleanMarketingData[[#This Row],[Leads]]=0,0,CleanMarketingData[[#This Row],[Budget_EUR]]/CleanMarketingData[[#This Row],[Leads]])</f>
        <v>6.8571428571428568</v>
      </c>
    </row>
    <row r="7" spans="1:17">
      <c r="A7" s="1" t="s">
        <v>51</v>
      </c>
      <c r="B7" s="3" t="s">
        <v>52</v>
      </c>
      <c r="C7" s="3" t="s">
        <v>53</v>
      </c>
      <c r="D7" s="3" t="s">
        <v>24</v>
      </c>
      <c r="E7" s="3" t="s">
        <v>54</v>
      </c>
      <c r="F7" s="3" t="s">
        <v>55</v>
      </c>
      <c r="G7" s="3">
        <v>135</v>
      </c>
      <c r="H7" s="3">
        <v>310</v>
      </c>
      <c r="I7" s="3">
        <v>11200</v>
      </c>
      <c r="J7" s="3">
        <v>540</v>
      </c>
      <c r="K7" s="3" t="s">
        <v>19</v>
      </c>
      <c r="L7" s="4">
        <v>46117</v>
      </c>
      <c r="M7" s="3" t="s">
        <v>56</v>
      </c>
      <c r="N7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7" s="3" t="str">
        <f ca="1">IF(CleanMarketingData[[#This Row],[Last_Updated]]="","Needs Update",IF(TODAY()-CleanMarketingData[[#This Row],[Last_Updated]]&gt;30,"Needs Update","Up-to-date"))</f>
        <v>Needs Update</v>
      </c>
      <c r="P7" s="5">
        <f>IF(CleanMarketingData[[#This Row],[Impressions]]=0,0,CleanMarketingData[[#This Row],[Clicks]]/CleanMarketingData[[#This Row],[Impressions]])</f>
        <v>2.7678571428571427E-2</v>
      </c>
      <c r="Q7" s="7">
        <f>IF(CleanMarketingData[[#This Row],[Leads]]=0,0,CleanMarketingData[[#This Row],[Budget_EUR]]/CleanMarketingData[[#This Row],[Leads]])</f>
        <v>4</v>
      </c>
    </row>
    <row r="8" spans="1:17">
      <c r="A8" s="1" t="s">
        <v>57</v>
      </c>
      <c r="B8" s="3" t="s">
        <v>58</v>
      </c>
      <c r="C8" s="3" t="s">
        <v>15</v>
      </c>
      <c r="D8" s="3" t="s">
        <v>16</v>
      </c>
      <c r="E8" s="3" t="s">
        <v>17</v>
      </c>
      <c r="F8" s="3" t="s">
        <v>18</v>
      </c>
      <c r="G8" s="3">
        <v>105</v>
      </c>
      <c r="H8" s="3">
        <v>275</v>
      </c>
      <c r="I8" s="3">
        <v>9100</v>
      </c>
      <c r="J8" s="3">
        <v>670</v>
      </c>
      <c r="K8" s="3" t="s">
        <v>27</v>
      </c>
      <c r="L8" s="4">
        <v>46148</v>
      </c>
      <c r="M8" s="3" t="s">
        <v>20</v>
      </c>
      <c r="N8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8" s="3" t="str">
        <f ca="1">IF(CleanMarketingData[[#This Row],[Last_Updated]]="","Needs Update",IF(TODAY()-CleanMarketingData[[#This Row],[Last_Updated]]&gt;30,"Needs Update","Up-to-date"))</f>
        <v>Up-to-date</v>
      </c>
      <c r="P8" s="5">
        <f>IF(CleanMarketingData[[#This Row],[Impressions]]=0,0,CleanMarketingData[[#This Row],[Clicks]]/CleanMarketingData[[#This Row],[Impressions]])</f>
        <v>3.021978021978022E-2</v>
      </c>
      <c r="Q8" s="7">
        <f>IF(CleanMarketingData[[#This Row],[Leads]]=0,0,CleanMarketingData[[#This Row],[Budget_EUR]]/CleanMarketingData[[#This Row],[Leads]])</f>
        <v>6.3809523809523814</v>
      </c>
    </row>
    <row r="9" spans="1:17">
      <c r="A9" s="1" t="s">
        <v>60</v>
      </c>
      <c r="B9" s="3" t="s">
        <v>61</v>
      </c>
      <c r="C9" s="3" t="s">
        <v>15</v>
      </c>
      <c r="D9" s="3" t="s">
        <v>31</v>
      </c>
      <c r="E9" s="3" t="s">
        <v>32</v>
      </c>
      <c r="F9" s="3" t="s">
        <v>26</v>
      </c>
      <c r="G9" s="3">
        <v>150</v>
      </c>
      <c r="H9" s="3">
        <v>360</v>
      </c>
      <c r="I9" s="3">
        <v>13500</v>
      </c>
      <c r="J9" s="3">
        <v>790</v>
      </c>
      <c r="K9" s="3" t="s">
        <v>34</v>
      </c>
      <c r="L9" s="4">
        <v>46130</v>
      </c>
      <c r="M9" s="3" t="s">
        <v>35</v>
      </c>
      <c r="N9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9" s="3" t="str">
        <f ca="1">IF(CleanMarketingData[[#This Row],[Last_Updated]]="","Needs Update",IF(TODAY()-CleanMarketingData[[#This Row],[Last_Updated]]&gt;30,"Needs Update","Up-to-date"))</f>
        <v>Up-to-date</v>
      </c>
      <c r="P9" s="5">
        <f>IF(CleanMarketingData[[#This Row],[Impressions]]=0,0,CleanMarketingData[[#This Row],[Clicks]]/CleanMarketingData[[#This Row],[Impressions]])</f>
        <v>2.6666666666666668E-2</v>
      </c>
      <c r="Q9" s="7">
        <f>IF(CleanMarketingData[[#This Row],[Leads]]=0,0,CleanMarketingData[[#This Row],[Budget_EUR]]/CleanMarketingData[[#This Row],[Leads]])</f>
        <v>5.2666666666666666</v>
      </c>
    </row>
    <row r="10" spans="1:17">
      <c r="A10" s="1" t="s">
        <v>62</v>
      </c>
      <c r="B10" s="3" t="s">
        <v>63</v>
      </c>
      <c r="C10" s="3" t="s">
        <v>23</v>
      </c>
      <c r="D10" s="3" t="s">
        <v>24</v>
      </c>
      <c r="E10" s="3" t="s">
        <v>25</v>
      </c>
      <c r="F10" s="3" t="s">
        <v>48</v>
      </c>
      <c r="G10" s="3">
        <v>90</v>
      </c>
      <c r="H10" s="3">
        <v>220</v>
      </c>
      <c r="I10" s="3">
        <v>7600</v>
      </c>
      <c r="J10" s="3">
        <v>610</v>
      </c>
      <c r="K10" s="3" t="s">
        <v>41</v>
      </c>
      <c r="L10" s="4">
        <v>46109</v>
      </c>
      <c r="M10" s="3" t="s">
        <v>64</v>
      </c>
      <c r="N10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10" s="3" t="str">
        <f ca="1">IF(CleanMarketingData[[#This Row],[Last_Updated]]="","Needs Update",IF(TODAY()-CleanMarketingData[[#This Row],[Last_Updated]]&gt;30,"Needs Update","Up-to-date"))</f>
        <v>Needs Update</v>
      </c>
      <c r="P10" s="5">
        <f>IF(CleanMarketingData[[#This Row],[Impressions]]=0,0,CleanMarketingData[[#This Row],[Clicks]]/CleanMarketingData[[#This Row],[Impressions]])</f>
        <v>2.8947368421052631E-2</v>
      </c>
      <c r="Q10" s="7">
        <f>IF(CleanMarketingData[[#This Row],[Leads]]=0,0,CleanMarketingData[[#This Row],[Budget_EUR]]/CleanMarketingData[[#This Row],[Leads]])</f>
        <v>6.7777777777777777</v>
      </c>
    </row>
    <row r="11" spans="1:17">
      <c r="A11" s="1" t="s">
        <v>65</v>
      </c>
      <c r="B11" s="3" t="s">
        <v>66</v>
      </c>
      <c r="C11" s="3" t="s">
        <v>30</v>
      </c>
      <c r="D11" s="3" t="s">
        <v>16</v>
      </c>
      <c r="E11" s="3" t="s">
        <v>47</v>
      </c>
      <c r="F11" s="3" t="s">
        <v>33</v>
      </c>
      <c r="G11" s="3">
        <v>175</v>
      </c>
      <c r="H11" s="3">
        <v>420</v>
      </c>
      <c r="I11" s="3">
        <v>16800</v>
      </c>
      <c r="J11" s="3">
        <v>900</v>
      </c>
      <c r="K11" s="3" t="s">
        <v>49</v>
      </c>
      <c r="L11" s="4">
        <v>46144</v>
      </c>
      <c r="M11" s="3" t="s">
        <v>20</v>
      </c>
      <c r="N11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11" s="3" t="str">
        <f ca="1">IF(CleanMarketingData[[#This Row],[Last_Updated]]="","Needs Update",IF(TODAY()-CleanMarketingData[[#This Row],[Last_Updated]]&gt;30,"Needs Update","Up-to-date"))</f>
        <v>Up-to-date</v>
      </c>
      <c r="P11" s="5">
        <f>IF(CleanMarketingData[[#This Row],[Impressions]]=0,0,CleanMarketingData[[#This Row],[Clicks]]/CleanMarketingData[[#This Row],[Impressions]])</f>
        <v>2.5000000000000001E-2</v>
      </c>
      <c r="Q11" s="7">
        <f>IF(CleanMarketingData[[#This Row],[Leads]]=0,0,CleanMarketingData[[#This Row],[Budget_EUR]]/CleanMarketingData[[#This Row],[Leads]])</f>
        <v>5.1428571428571432</v>
      </c>
    </row>
    <row r="12" spans="1:17">
      <c r="A12" s="1" t="s">
        <v>67</v>
      </c>
      <c r="B12" s="3" t="s">
        <v>68</v>
      </c>
      <c r="C12" s="3" t="s">
        <v>15</v>
      </c>
      <c r="D12" s="3" t="s">
        <v>16</v>
      </c>
      <c r="E12" s="3" t="s">
        <v>39</v>
      </c>
      <c r="F12" s="3" t="s">
        <v>40</v>
      </c>
      <c r="G12" s="3">
        <v>115</v>
      </c>
      <c r="H12" s="3">
        <v>260</v>
      </c>
      <c r="I12" s="3">
        <v>10200</v>
      </c>
      <c r="J12" s="3">
        <v>980</v>
      </c>
      <c r="K12" s="3" t="s">
        <v>19</v>
      </c>
      <c r="L12" s="4">
        <v>46101</v>
      </c>
      <c r="M12" s="3" t="s">
        <v>35</v>
      </c>
      <c r="N12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12" s="3" t="str">
        <f ca="1">IF(CleanMarketingData[[#This Row],[Last_Updated]]="","Needs Update",IF(TODAY()-CleanMarketingData[[#This Row],[Last_Updated]]&gt;30,"Needs Update","Up-to-date"))</f>
        <v>Needs Update</v>
      </c>
      <c r="P12" s="5">
        <f>IF(CleanMarketingData[[#This Row],[Impressions]]=0,0,CleanMarketingData[[#This Row],[Clicks]]/CleanMarketingData[[#This Row],[Impressions]])</f>
        <v>2.5490196078431372E-2</v>
      </c>
      <c r="Q12" s="7">
        <f>IF(CleanMarketingData[[#This Row],[Leads]]=0,0,CleanMarketingData[[#This Row],[Budget_EUR]]/CleanMarketingData[[#This Row],[Leads]])</f>
        <v>8.5217391304347831</v>
      </c>
    </row>
    <row r="13" spans="1:17">
      <c r="A13" s="1" t="s">
        <v>69</v>
      </c>
      <c r="B13" s="3" t="s">
        <v>70</v>
      </c>
      <c r="C13" s="3" t="s">
        <v>45</v>
      </c>
      <c r="D13" s="3" t="s">
        <v>24</v>
      </c>
      <c r="E13" s="3" t="s">
        <v>17</v>
      </c>
      <c r="F13" s="3" t="s">
        <v>26</v>
      </c>
      <c r="G13" s="3">
        <v>65</v>
      </c>
      <c r="H13" s="3">
        <v>140</v>
      </c>
      <c r="I13" s="3">
        <v>5300</v>
      </c>
      <c r="J13" s="3">
        <v>430</v>
      </c>
      <c r="K13" s="3" t="s">
        <v>27</v>
      </c>
      <c r="L13" s="4">
        <v>46137</v>
      </c>
      <c r="M13" s="3" t="s">
        <v>20</v>
      </c>
      <c r="N13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13" s="3" t="str">
        <f ca="1">IF(CleanMarketingData[[#This Row],[Last_Updated]]="","Needs Update",IF(TODAY()-CleanMarketingData[[#This Row],[Last_Updated]]&gt;30,"Needs Update","Up-to-date"))</f>
        <v>Up-to-date</v>
      </c>
      <c r="P13" s="5">
        <f>IF(CleanMarketingData[[#This Row],[Impressions]]=0,0,CleanMarketingData[[#This Row],[Clicks]]/CleanMarketingData[[#This Row],[Impressions]])</f>
        <v>2.6415094339622643E-2</v>
      </c>
      <c r="Q13" s="7">
        <f>IF(CleanMarketingData[[#This Row],[Leads]]=0,0,CleanMarketingData[[#This Row],[Budget_EUR]]/CleanMarketingData[[#This Row],[Leads]])</f>
        <v>6.615384615384615</v>
      </c>
    </row>
    <row r="14" spans="1:17">
      <c r="A14" s="1" t="s">
        <v>71</v>
      </c>
      <c r="B14" s="3" t="s">
        <v>72</v>
      </c>
      <c r="C14" s="3" t="s">
        <v>38</v>
      </c>
      <c r="D14" s="3" t="s">
        <v>31</v>
      </c>
      <c r="E14" s="3" t="s">
        <v>25</v>
      </c>
      <c r="F14" s="3" t="s">
        <v>40</v>
      </c>
      <c r="G14" s="3">
        <v>140</v>
      </c>
      <c r="H14" s="3">
        <v>330</v>
      </c>
      <c r="I14" s="3">
        <v>12100</v>
      </c>
      <c r="J14" s="3">
        <v>1250</v>
      </c>
      <c r="K14" s="3" t="s">
        <v>41</v>
      </c>
      <c r="L14" s="4">
        <v>46146</v>
      </c>
      <c r="M14" s="3" t="s">
        <v>20</v>
      </c>
      <c r="N14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14" s="3" t="str">
        <f ca="1">IF(CleanMarketingData[[#This Row],[Last_Updated]]="","Needs Update",IF(TODAY()-CleanMarketingData[[#This Row],[Last_Updated]]&gt;30,"Needs Update","Up-to-date"))</f>
        <v>Up-to-date</v>
      </c>
      <c r="P14" s="5">
        <f>IF(CleanMarketingData[[#This Row],[Impressions]]=0,0,CleanMarketingData[[#This Row],[Clicks]]/CleanMarketingData[[#This Row],[Impressions]])</f>
        <v>2.7272727272727271E-2</v>
      </c>
      <c r="Q14" s="7">
        <f>IF(CleanMarketingData[[#This Row],[Leads]]=0,0,CleanMarketingData[[#This Row],[Budget_EUR]]/CleanMarketingData[[#This Row],[Leads]])</f>
        <v>8.9285714285714288</v>
      </c>
    </row>
    <row r="15" spans="1:17">
      <c r="A15" s="1" t="s">
        <v>73</v>
      </c>
      <c r="B15" s="3" t="s">
        <v>74</v>
      </c>
      <c r="C15" s="3" t="s">
        <v>23</v>
      </c>
      <c r="D15" s="3" t="s">
        <v>16</v>
      </c>
      <c r="E15" s="3" t="s">
        <v>54</v>
      </c>
      <c r="F15" s="3" t="s">
        <v>55</v>
      </c>
      <c r="G15" s="3">
        <v>100</v>
      </c>
      <c r="H15" s="3">
        <v>240</v>
      </c>
      <c r="I15" s="3">
        <v>8700</v>
      </c>
      <c r="J15" s="3">
        <v>390</v>
      </c>
      <c r="K15" s="3" t="s">
        <v>49</v>
      </c>
      <c r="L15" s="4">
        <v>46114</v>
      </c>
      <c r="M15" s="3" t="s">
        <v>56</v>
      </c>
      <c r="N15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15" s="3" t="str">
        <f ca="1">IF(CleanMarketingData[[#This Row],[Last_Updated]]="","Needs Update",IF(TODAY()-CleanMarketingData[[#This Row],[Last_Updated]]&gt;30,"Needs Update","Up-to-date"))</f>
        <v>Needs Update</v>
      </c>
      <c r="P15" s="5">
        <f>IF(CleanMarketingData[[#This Row],[Impressions]]=0,0,CleanMarketingData[[#This Row],[Clicks]]/CleanMarketingData[[#This Row],[Impressions]])</f>
        <v>2.7586206896551724E-2</v>
      </c>
      <c r="Q15" s="7">
        <f>IF(CleanMarketingData[[#This Row],[Leads]]=0,0,CleanMarketingData[[#This Row],[Budget_EUR]]/CleanMarketingData[[#This Row],[Leads]])</f>
        <v>3.9</v>
      </c>
    </row>
    <row r="16" spans="1:17">
      <c r="A16" s="1" t="s">
        <v>75</v>
      </c>
      <c r="B16" s="3" t="s">
        <v>76</v>
      </c>
      <c r="C16" s="3" t="s">
        <v>53</v>
      </c>
      <c r="D16" s="3" t="s">
        <v>24</v>
      </c>
      <c r="E16" s="3" t="s">
        <v>32</v>
      </c>
      <c r="F16" s="3" t="s">
        <v>33</v>
      </c>
      <c r="G16" s="3">
        <v>155</v>
      </c>
      <c r="H16" s="3">
        <v>370</v>
      </c>
      <c r="I16" s="3">
        <v>14300</v>
      </c>
      <c r="J16" s="3">
        <v>820</v>
      </c>
      <c r="K16" s="3" t="s">
        <v>34</v>
      </c>
      <c r="L16" s="4">
        <v>46111</v>
      </c>
      <c r="M16" s="3" t="s">
        <v>20</v>
      </c>
      <c r="N16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16" s="3" t="str">
        <f ca="1">IF(CleanMarketingData[[#This Row],[Last_Updated]]="","Needs Update",IF(TODAY()-CleanMarketingData[[#This Row],[Last_Updated]]&gt;30,"Needs Update","Up-to-date"))</f>
        <v>Needs Update</v>
      </c>
      <c r="P16" s="5">
        <f>IF(CleanMarketingData[[#This Row],[Impressions]]=0,0,CleanMarketingData[[#This Row],[Clicks]]/CleanMarketingData[[#This Row],[Impressions]])</f>
        <v>2.5874125874125874E-2</v>
      </c>
      <c r="Q16" s="7">
        <f>IF(CleanMarketingData[[#This Row],[Leads]]=0,0,CleanMarketingData[[#This Row],[Budget_EUR]]/CleanMarketingData[[#This Row],[Leads]])</f>
        <v>5.290322580645161</v>
      </c>
    </row>
    <row r="17" spans="1:17">
      <c r="A17" s="1" t="s">
        <v>77</v>
      </c>
      <c r="B17" s="3" t="s">
        <v>78</v>
      </c>
      <c r="C17" s="3" t="s">
        <v>38</v>
      </c>
      <c r="D17" s="3" t="s">
        <v>16</v>
      </c>
      <c r="E17" s="3" t="s">
        <v>17</v>
      </c>
      <c r="F17" s="3" t="s">
        <v>48</v>
      </c>
      <c r="G17" s="3">
        <v>130</v>
      </c>
      <c r="H17" s="3">
        <v>295</v>
      </c>
      <c r="I17" s="3">
        <v>11800</v>
      </c>
      <c r="J17" s="3">
        <v>950</v>
      </c>
      <c r="K17" s="3" t="s">
        <v>19</v>
      </c>
      <c r="L17" s="4">
        <v>46141</v>
      </c>
      <c r="M17" s="3" t="s">
        <v>35</v>
      </c>
      <c r="N17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17" s="3" t="str">
        <f ca="1">IF(CleanMarketingData[[#This Row],[Last_Updated]]="","Needs Update",IF(TODAY()-CleanMarketingData[[#This Row],[Last_Updated]]&gt;30,"Needs Update","Up-to-date"))</f>
        <v>Up-to-date</v>
      </c>
      <c r="P17" s="5">
        <f>IF(CleanMarketingData[[#This Row],[Impressions]]=0,0,CleanMarketingData[[#This Row],[Clicks]]/CleanMarketingData[[#This Row],[Impressions]])</f>
        <v>2.5000000000000001E-2</v>
      </c>
      <c r="Q17" s="7">
        <f>IF(CleanMarketingData[[#This Row],[Leads]]=0,0,CleanMarketingData[[#This Row],[Budget_EUR]]/CleanMarketingData[[#This Row],[Leads]])</f>
        <v>7.3076923076923075</v>
      </c>
    </row>
    <row r="18" spans="1:17">
      <c r="A18" s="1" t="s">
        <v>79</v>
      </c>
      <c r="B18" s="3" t="s">
        <v>80</v>
      </c>
      <c r="C18" s="3" t="s">
        <v>45</v>
      </c>
      <c r="D18" s="3" t="s">
        <v>31</v>
      </c>
      <c r="E18" s="3" t="s">
        <v>47</v>
      </c>
      <c r="F18" s="3" t="s">
        <v>18</v>
      </c>
      <c r="G18" s="3">
        <v>80</v>
      </c>
      <c r="H18" s="3">
        <v>170</v>
      </c>
      <c r="I18" s="3">
        <v>6400</v>
      </c>
      <c r="J18" s="3">
        <v>520</v>
      </c>
      <c r="K18" s="3" t="s">
        <v>27</v>
      </c>
      <c r="L18" s="4">
        <v>46147</v>
      </c>
      <c r="M18" s="3" t="s">
        <v>20</v>
      </c>
      <c r="N18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18" s="3" t="str">
        <f ca="1">IF(CleanMarketingData[[#This Row],[Last_Updated]]="","Needs Update",IF(TODAY()-CleanMarketingData[[#This Row],[Last_Updated]]&gt;30,"Needs Update","Up-to-date"))</f>
        <v>Up-to-date</v>
      </c>
      <c r="P18" s="5">
        <f>IF(CleanMarketingData[[#This Row],[Impressions]]=0,0,CleanMarketingData[[#This Row],[Clicks]]/CleanMarketingData[[#This Row],[Impressions]])</f>
        <v>2.6562499999999999E-2</v>
      </c>
      <c r="Q18" s="7">
        <f>IF(CleanMarketingData[[#This Row],[Leads]]=0,0,CleanMarketingData[[#This Row],[Budget_EUR]]/CleanMarketingData[[#This Row],[Leads]])</f>
        <v>6.5</v>
      </c>
    </row>
    <row r="19" spans="1:17">
      <c r="A19" s="1" t="s">
        <v>81</v>
      </c>
      <c r="B19" s="3" t="s">
        <v>82</v>
      </c>
      <c r="C19" s="3" t="s">
        <v>15</v>
      </c>
      <c r="D19" s="3" t="s">
        <v>24</v>
      </c>
      <c r="E19" s="3" t="s">
        <v>39</v>
      </c>
      <c r="F19" s="3" t="s">
        <v>26</v>
      </c>
      <c r="G19" s="3">
        <v>145</v>
      </c>
      <c r="H19" s="3">
        <v>350</v>
      </c>
      <c r="I19" s="3">
        <v>13200</v>
      </c>
      <c r="J19" s="3">
        <v>870</v>
      </c>
      <c r="K19" s="3" t="s">
        <v>41</v>
      </c>
      <c r="L19" s="4">
        <v>46122</v>
      </c>
      <c r="M19" s="3" t="s">
        <v>64</v>
      </c>
      <c r="N19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19" s="3" t="str">
        <f ca="1">IF(CleanMarketingData[[#This Row],[Last_Updated]]="","Needs Update",IF(TODAY()-CleanMarketingData[[#This Row],[Last_Updated]]&gt;30,"Needs Update","Up-to-date"))</f>
        <v>Needs Update</v>
      </c>
      <c r="P19" s="5">
        <f>IF(CleanMarketingData[[#This Row],[Impressions]]=0,0,CleanMarketingData[[#This Row],[Clicks]]/CleanMarketingData[[#This Row],[Impressions]])</f>
        <v>2.6515151515151516E-2</v>
      </c>
      <c r="Q19" s="7">
        <f>IF(CleanMarketingData[[#This Row],[Leads]]=0,0,CleanMarketingData[[#This Row],[Budget_EUR]]/CleanMarketingData[[#This Row],[Leads]])</f>
        <v>6</v>
      </c>
    </row>
    <row r="20" spans="1:17">
      <c r="A20" s="1" t="s">
        <v>83</v>
      </c>
      <c r="B20" s="3" t="s">
        <v>84</v>
      </c>
      <c r="C20" s="3" t="s">
        <v>23</v>
      </c>
      <c r="D20" s="3" t="s">
        <v>16</v>
      </c>
      <c r="E20" s="3" t="s">
        <v>25</v>
      </c>
      <c r="F20" s="3" t="s">
        <v>48</v>
      </c>
      <c r="G20" s="3">
        <v>75</v>
      </c>
      <c r="H20" s="3">
        <v>165</v>
      </c>
      <c r="I20" s="3">
        <v>5900</v>
      </c>
      <c r="J20" s="3">
        <v>460</v>
      </c>
      <c r="K20" s="3" t="s">
        <v>49</v>
      </c>
      <c r="L20" s="4">
        <v>46099</v>
      </c>
      <c r="M20" s="3" t="s">
        <v>35</v>
      </c>
      <c r="N20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20" s="3" t="str">
        <f ca="1">IF(CleanMarketingData[[#This Row],[Last_Updated]]="","Needs Update",IF(TODAY()-CleanMarketingData[[#This Row],[Last_Updated]]&gt;30,"Needs Update","Up-to-date"))</f>
        <v>Needs Update</v>
      </c>
      <c r="P20" s="5">
        <f>IF(CleanMarketingData[[#This Row],[Impressions]]=0,0,CleanMarketingData[[#This Row],[Clicks]]/CleanMarketingData[[#This Row],[Impressions]])</f>
        <v>2.7966101694915254E-2</v>
      </c>
      <c r="Q20" s="7">
        <f>IF(CleanMarketingData[[#This Row],[Leads]]=0,0,CleanMarketingData[[#This Row],[Budget_EUR]]/CleanMarketingData[[#This Row],[Leads]])</f>
        <v>6.1333333333333337</v>
      </c>
    </row>
    <row r="21" spans="1:17">
      <c r="A21" s="1" t="s">
        <v>85</v>
      </c>
      <c r="B21" s="3" t="s">
        <v>86</v>
      </c>
      <c r="C21" s="3" t="s">
        <v>30</v>
      </c>
      <c r="D21" s="3" t="s">
        <v>31</v>
      </c>
      <c r="E21" s="3" t="s">
        <v>54</v>
      </c>
      <c r="F21" s="3" t="s">
        <v>33</v>
      </c>
      <c r="G21" s="3">
        <v>190</v>
      </c>
      <c r="H21" s="3">
        <v>450</v>
      </c>
      <c r="I21" s="3">
        <v>18000</v>
      </c>
      <c r="J21" s="3">
        <v>990</v>
      </c>
      <c r="K21" s="3" t="s">
        <v>34</v>
      </c>
      <c r="L21" s="4">
        <v>46149</v>
      </c>
      <c r="M21" s="3" t="s">
        <v>20</v>
      </c>
      <c r="N21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21" s="3" t="str">
        <f ca="1">IF(CleanMarketingData[[#This Row],[Last_Updated]]="","Needs Update",IF(TODAY()-CleanMarketingData[[#This Row],[Last_Updated]]&gt;30,"Needs Update","Up-to-date"))</f>
        <v>Up-to-date</v>
      </c>
      <c r="P21" s="5">
        <f>IF(CleanMarketingData[[#This Row],[Impressions]]=0,0,CleanMarketingData[[#This Row],[Clicks]]/CleanMarketingData[[#This Row],[Impressions]])</f>
        <v>2.5000000000000001E-2</v>
      </c>
      <c r="Q21" s="7">
        <f>IF(CleanMarketingData[[#This Row],[Leads]]=0,0,CleanMarketingData[[#This Row],[Budget_EUR]]/CleanMarketingData[[#This Row],[Leads]])</f>
        <v>5.2105263157894735</v>
      </c>
    </row>
    <row r="22" spans="1:17">
      <c r="A22" s="1" t="s">
        <v>87</v>
      </c>
      <c r="B22" s="3" t="s">
        <v>88</v>
      </c>
      <c r="C22" s="3" t="s">
        <v>38</v>
      </c>
      <c r="D22" s="3" t="s">
        <v>16</v>
      </c>
      <c r="E22" s="3" t="s">
        <v>32</v>
      </c>
      <c r="F22" s="3" t="s">
        <v>40</v>
      </c>
      <c r="G22" s="3">
        <v>125</v>
      </c>
      <c r="H22" s="3">
        <v>285</v>
      </c>
      <c r="I22" s="3">
        <v>10900</v>
      </c>
      <c r="J22" s="3">
        <v>1150</v>
      </c>
      <c r="K22" s="3" t="s">
        <v>41</v>
      </c>
      <c r="L22" s="4">
        <v>46127</v>
      </c>
      <c r="M22" s="3" t="s">
        <v>20</v>
      </c>
      <c r="N22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22" s="3" t="str">
        <f ca="1">IF(CleanMarketingData[[#This Row],[Last_Updated]]="","Needs Update",IF(TODAY()-CleanMarketingData[[#This Row],[Last_Updated]]&gt;30,"Needs Update","Up-to-date"))</f>
        <v>Up-to-date</v>
      </c>
      <c r="P22" s="5">
        <f>IF(CleanMarketingData[[#This Row],[Impressions]]=0,0,CleanMarketingData[[#This Row],[Clicks]]/CleanMarketingData[[#This Row],[Impressions]])</f>
        <v>2.614678899082569E-2</v>
      </c>
      <c r="Q22" s="7">
        <f>IF(CleanMarketingData[[#This Row],[Leads]]=0,0,CleanMarketingData[[#This Row],[Budget_EUR]]/CleanMarketingData[[#This Row],[Leads]])</f>
        <v>9.1999999999999993</v>
      </c>
    </row>
    <row r="23" spans="1:17">
      <c r="A23" s="1" t="s">
        <v>89</v>
      </c>
      <c r="B23" s="3" t="s">
        <v>90</v>
      </c>
      <c r="C23" s="3" t="s">
        <v>45</v>
      </c>
      <c r="D23" s="3" t="s">
        <v>24</v>
      </c>
      <c r="E23" s="3" t="s">
        <v>17</v>
      </c>
      <c r="F23" s="3" t="s">
        <v>26</v>
      </c>
      <c r="G23" s="3">
        <v>60</v>
      </c>
      <c r="H23" s="3">
        <v>125</v>
      </c>
      <c r="I23" s="3">
        <v>4900</v>
      </c>
      <c r="J23" s="3">
        <v>410</v>
      </c>
      <c r="K23" s="3" t="s">
        <v>19</v>
      </c>
      <c r="L23" s="4">
        <v>46113</v>
      </c>
      <c r="M23" s="3" t="s">
        <v>56</v>
      </c>
      <c r="N23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23" s="3" t="str">
        <f ca="1">IF(CleanMarketingData[[#This Row],[Last_Updated]]="","Needs Update",IF(TODAY()-CleanMarketingData[[#This Row],[Last_Updated]]&gt;30,"Needs Update","Up-to-date"))</f>
        <v>Needs Update</v>
      </c>
      <c r="P23" s="5">
        <f>IF(CleanMarketingData[[#This Row],[Impressions]]=0,0,CleanMarketingData[[#This Row],[Clicks]]/CleanMarketingData[[#This Row],[Impressions]])</f>
        <v>2.5510204081632654E-2</v>
      </c>
      <c r="Q23" s="7">
        <f>IF(CleanMarketingData[[#This Row],[Leads]]=0,0,CleanMarketingData[[#This Row],[Budget_EUR]]/CleanMarketingData[[#This Row],[Leads]])</f>
        <v>6.833333333333333</v>
      </c>
    </row>
    <row r="24" spans="1:17">
      <c r="A24" s="1" t="s">
        <v>91</v>
      </c>
      <c r="B24" s="3" t="s">
        <v>92</v>
      </c>
      <c r="C24" s="3" t="s">
        <v>53</v>
      </c>
      <c r="D24" s="3" t="s">
        <v>31</v>
      </c>
      <c r="E24" s="3" t="s">
        <v>47</v>
      </c>
      <c r="F24" s="3" t="s">
        <v>18</v>
      </c>
      <c r="G24" s="3">
        <v>110</v>
      </c>
      <c r="H24" s="3">
        <v>270</v>
      </c>
      <c r="I24" s="3">
        <v>9400</v>
      </c>
      <c r="J24" s="3">
        <v>630</v>
      </c>
      <c r="K24" s="3" t="s">
        <v>49</v>
      </c>
      <c r="L24" s="4">
        <v>46148</v>
      </c>
      <c r="M24" s="3" t="s">
        <v>20</v>
      </c>
      <c r="N24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24" s="3" t="str">
        <f ca="1">IF(CleanMarketingData[[#This Row],[Last_Updated]]="","Needs Update",IF(TODAY()-CleanMarketingData[[#This Row],[Last_Updated]]&gt;30,"Needs Update","Up-to-date"))</f>
        <v>Up-to-date</v>
      </c>
      <c r="P24" s="5">
        <f>IF(CleanMarketingData[[#This Row],[Impressions]]=0,0,CleanMarketingData[[#This Row],[Clicks]]/CleanMarketingData[[#This Row],[Impressions]])</f>
        <v>2.8723404255319149E-2</v>
      </c>
      <c r="Q24" s="7">
        <f>IF(CleanMarketingData[[#This Row],[Leads]]=0,0,CleanMarketingData[[#This Row],[Budget_EUR]]/CleanMarketingData[[#This Row],[Leads]])</f>
        <v>5.7272727272727275</v>
      </c>
    </row>
    <row r="25" spans="1:17">
      <c r="A25" s="1" t="s">
        <v>93</v>
      </c>
      <c r="B25" s="3" t="s">
        <v>94</v>
      </c>
      <c r="C25" s="3" t="s">
        <v>23</v>
      </c>
      <c r="D25" s="3" t="s">
        <v>16</v>
      </c>
      <c r="E25" s="3" t="s">
        <v>39</v>
      </c>
      <c r="F25" s="3" t="s">
        <v>48</v>
      </c>
      <c r="G25" s="3">
        <v>88</v>
      </c>
      <c r="H25" s="3">
        <v>205</v>
      </c>
      <c r="I25" s="3">
        <v>7300</v>
      </c>
      <c r="J25" s="3">
        <v>570</v>
      </c>
      <c r="K25" s="3" t="s">
        <v>27</v>
      </c>
      <c r="L25" s="4">
        <v>46106</v>
      </c>
      <c r="M25" s="3" t="s">
        <v>64</v>
      </c>
      <c r="N25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25" s="3" t="str">
        <f ca="1">IF(CleanMarketingData[[#This Row],[Last_Updated]]="","Needs Update",IF(TODAY()-CleanMarketingData[[#This Row],[Last_Updated]]&gt;30,"Needs Update","Up-to-date"))</f>
        <v>Needs Update</v>
      </c>
      <c r="P25" s="5">
        <f>IF(CleanMarketingData[[#This Row],[Impressions]]=0,0,CleanMarketingData[[#This Row],[Clicks]]/CleanMarketingData[[#This Row],[Impressions]])</f>
        <v>2.8082191780821917E-2</v>
      </c>
      <c r="Q25" s="7">
        <f>IF(CleanMarketingData[[#This Row],[Leads]]=0,0,CleanMarketingData[[#This Row],[Budget_EUR]]/CleanMarketingData[[#This Row],[Leads]])</f>
        <v>6.4772727272727275</v>
      </c>
    </row>
    <row r="26" spans="1:17">
      <c r="A26" s="1" t="s">
        <v>95</v>
      </c>
      <c r="B26" s="3" t="s">
        <v>96</v>
      </c>
      <c r="C26" s="3" t="s">
        <v>15</v>
      </c>
      <c r="D26" s="3" t="s">
        <v>24</v>
      </c>
      <c r="E26" s="3" t="s">
        <v>25</v>
      </c>
      <c r="F26" s="3" t="s">
        <v>40</v>
      </c>
      <c r="G26" s="3">
        <v>118</v>
      </c>
      <c r="H26" s="3">
        <v>265</v>
      </c>
      <c r="I26" s="3">
        <v>10100</v>
      </c>
      <c r="J26" s="3">
        <v>1020</v>
      </c>
      <c r="K26" s="3" t="s">
        <v>34</v>
      </c>
      <c r="L26" s="4">
        <v>46132</v>
      </c>
      <c r="M26" s="3" t="s">
        <v>35</v>
      </c>
      <c r="N26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26" s="3" t="str">
        <f ca="1">IF(CleanMarketingData[[#This Row],[Last_Updated]]="","Needs Update",IF(TODAY()-CleanMarketingData[[#This Row],[Last_Updated]]&gt;30,"Needs Update","Up-to-date"))</f>
        <v>Up-to-date</v>
      </c>
      <c r="P26" s="5">
        <f>IF(CleanMarketingData[[#This Row],[Impressions]]=0,0,CleanMarketingData[[#This Row],[Clicks]]/CleanMarketingData[[#This Row],[Impressions]])</f>
        <v>2.6237623762376237E-2</v>
      </c>
      <c r="Q26" s="7">
        <f>IF(CleanMarketingData[[#This Row],[Leads]]=0,0,CleanMarketingData[[#This Row],[Budget_EUR]]/CleanMarketingData[[#This Row],[Leads]])</f>
        <v>8.6440677966101696</v>
      </c>
    </row>
    <row r="27" spans="1:17">
      <c r="A27" s="1" t="s">
        <v>97</v>
      </c>
      <c r="B27" s="3" t="s">
        <v>29</v>
      </c>
      <c r="C27" s="3" t="s">
        <v>30</v>
      </c>
      <c r="D27" s="3" t="s">
        <v>16</v>
      </c>
      <c r="E27" s="3" t="s">
        <v>32</v>
      </c>
      <c r="F27" s="3" t="s">
        <v>33</v>
      </c>
      <c r="G27" s="3">
        <v>165</v>
      </c>
      <c r="H27" s="3">
        <v>400</v>
      </c>
      <c r="I27" s="3">
        <v>15400</v>
      </c>
      <c r="J27" s="3">
        <v>760</v>
      </c>
      <c r="K27" s="3" t="s">
        <v>41</v>
      </c>
      <c r="L27" s="4">
        <v>46143</v>
      </c>
      <c r="M27" s="3" t="s">
        <v>20</v>
      </c>
      <c r="N27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27" s="3" t="str">
        <f ca="1">IF(CleanMarketingData[[#This Row],[Last_Updated]]="","Needs Update",IF(TODAY()-CleanMarketingData[[#This Row],[Last_Updated]]&gt;30,"Needs Update","Up-to-date"))</f>
        <v>Up-to-date</v>
      </c>
      <c r="P27" s="5">
        <f>IF(CleanMarketingData[[#This Row],[Impressions]]=0,0,CleanMarketingData[[#This Row],[Clicks]]/CleanMarketingData[[#This Row],[Impressions]])</f>
        <v>2.5974025974025976E-2</v>
      </c>
      <c r="Q27" s="7">
        <f>IF(CleanMarketingData[[#This Row],[Leads]]=0,0,CleanMarketingData[[#This Row],[Budget_EUR]]/CleanMarketingData[[#This Row],[Leads]])</f>
        <v>4.6060606060606064</v>
      </c>
    </row>
    <row r="28" spans="1:17">
      <c r="A28" s="1" t="s">
        <v>98</v>
      </c>
      <c r="B28" s="3" t="s">
        <v>37</v>
      </c>
      <c r="C28" s="3" t="s">
        <v>38</v>
      </c>
      <c r="D28" s="3" t="s">
        <v>24</v>
      </c>
      <c r="E28" s="3" t="s">
        <v>17</v>
      </c>
      <c r="F28" s="3" t="s">
        <v>18</v>
      </c>
      <c r="G28" s="3">
        <v>102</v>
      </c>
      <c r="H28" s="3">
        <v>235</v>
      </c>
      <c r="I28" s="3">
        <v>8800</v>
      </c>
      <c r="J28" s="3">
        <v>1040</v>
      </c>
      <c r="K28" s="3" t="s">
        <v>19</v>
      </c>
      <c r="L28" s="4">
        <v>46139</v>
      </c>
      <c r="M28" s="3" t="s">
        <v>20</v>
      </c>
      <c r="N28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28" s="3" t="str">
        <f ca="1">IF(CleanMarketingData[[#This Row],[Last_Updated]]="","Needs Update",IF(TODAY()-CleanMarketingData[[#This Row],[Last_Updated]]&gt;30,"Needs Update","Up-to-date"))</f>
        <v>Up-to-date</v>
      </c>
      <c r="P28" s="5">
        <f>IF(CleanMarketingData[[#This Row],[Impressions]]=0,0,CleanMarketingData[[#This Row],[Clicks]]/CleanMarketingData[[#This Row],[Impressions]])</f>
        <v>2.6704545454545453E-2</v>
      </c>
      <c r="Q28" s="7">
        <f>IF(CleanMarketingData[[#This Row],[Leads]]=0,0,CleanMarketingData[[#This Row],[Budget_EUR]]/CleanMarketingData[[#This Row],[Leads]])</f>
        <v>10.196078431372548</v>
      </c>
    </row>
    <row r="29" spans="1:17">
      <c r="A29" s="1" t="s">
        <v>99</v>
      </c>
      <c r="B29" s="3" t="s">
        <v>44</v>
      </c>
      <c r="C29" s="3" t="s">
        <v>45</v>
      </c>
      <c r="D29" s="3" t="s">
        <v>31</v>
      </c>
      <c r="E29" s="3" t="s">
        <v>54</v>
      </c>
      <c r="F29" s="3" t="s">
        <v>55</v>
      </c>
      <c r="G29" s="3">
        <v>58</v>
      </c>
      <c r="H29" s="3">
        <v>118</v>
      </c>
      <c r="I29" s="3">
        <v>4500</v>
      </c>
      <c r="J29" s="3">
        <v>390</v>
      </c>
      <c r="K29" s="3" t="s">
        <v>27</v>
      </c>
      <c r="L29" s="4">
        <v>46091</v>
      </c>
      <c r="M29" s="3" t="s">
        <v>56</v>
      </c>
      <c r="N29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29" s="3" t="str">
        <f ca="1">IF(CleanMarketingData[[#This Row],[Last_Updated]]="","Needs Update",IF(TODAY()-CleanMarketingData[[#This Row],[Last_Updated]]&gt;30,"Needs Update","Up-to-date"))</f>
        <v>Needs Update</v>
      </c>
      <c r="P29" s="5">
        <f>IF(CleanMarketingData[[#This Row],[Impressions]]=0,0,CleanMarketingData[[#This Row],[Clicks]]/CleanMarketingData[[#This Row],[Impressions]])</f>
        <v>2.6222222222222223E-2</v>
      </c>
      <c r="Q29" s="7">
        <f>IF(CleanMarketingData[[#This Row],[Leads]]=0,0,CleanMarketingData[[#This Row],[Budget_EUR]]/CleanMarketingData[[#This Row],[Leads]])</f>
        <v>6.7241379310344831</v>
      </c>
    </row>
    <row r="30" spans="1:17">
      <c r="A30" s="1" t="s">
        <v>100</v>
      </c>
      <c r="B30" s="3" t="s">
        <v>61</v>
      </c>
      <c r="C30" s="3" t="s">
        <v>15</v>
      </c>
      <c r="D30" s="3" t="s">
        <v>16</v>
      </c>
      <c r="E30" s="3" t="s">
        <v>47</v>
      </c>
      <c r="F30" s="3" t="s">
        <v>48</v>
      </c>
      <c r="G30" s="3">
        <v>142</v>
      </c>
      <c r="H30" s="3">
        <v>325</v>
      </c>
      <c r="I30" s="3">
        <v>12700</v>
      </c>
      <c r="J30" s="3">
        <v>810</v>
      </c>
      <c r="K30" s="3" t="s">
        <v>49</v>
      </c>
      <c r="L30" s="4">
        <v>46145</v>
      </c>
      <c r="M30" s="3" t="s">
        <v>20</v>
      </c>
      <c r="N30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30" s="3" t="str">
        <f ca="1">IF(CleanMarketingData[[#This Row],[Last_Updated]]="","Needs Update",IF(TODAY()-CleanMarketingData[[#This Row],[Last_Updated]]&gt;30,"Needs Update","Up-to-date"))</f>
        <v>Up-to-date</v>
      </c>
      <c r="P30" s="5">
        <f>IF(CleanMarketingData[[#This Row],[Impressions]]=0,0,CleanMarketingData[[#This Row],[Clicks]]/CleanMarketingData[[#This Row],[Impressions]])</f>
        <v>2.5590551181102362E-2</v>
      </c>
      <c r="Q30" s="7">
        <f>IF(CleanMarketingData[[#This Row],[Leads]]=0,0,CleanMarketingData[[#This Row],[Budget_EUR]]/CleanMarketingData[[#This Row],[Leads]])</f>
        <v>5.704225352112676</v>
      </c>
    </row>
    <row r="31" spans="1:17">
      <c r="A31" s="1" t="s">
        <v>101</v>
      </c>
      <c r="B31" s="3" t="s">
        <v>22</v>
      </c>
      <c r="C31" s="3" t="s">
        <v>23</v>
      </c>
      <c r="D31" s="3" t="s">
        <v>24</v>
      </c>
      <c r="E31" s="3" t="s">
        <v>39</v>
      </c>
      <c r="F31" s="3" t="s">
        <v>26</v>
      </c>
      <c r="G31" s="3">
        <v>92</v>
      </c>
      <c r="H31" s="3">
        <v>215</v>
      </c>
      <c r="I31" s="3">
        <v>7900</v>
      </c>
      <c r="J31" s="3">
        <v>650</v>
      </c>
      <c r="K31" s="3" t="s">
        <v>41</v>
      </c>
      <c r="L31" s="4">
        <v>46118</v>
      </c>
      <c r="M31" s="3" t="s">
        <v>35</v>
      </c>
      <c r="N31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31" s="3" t="str">
        <f ca="1">IF(CleanMarketingData[[#This Row],[Last_Updated]]="","Needs Update",IF(TODAY()-CleanMarketingData[[#This Row],[Last_Updated]]&gt;30,"Needs Update","Up-to-date"))</f>
        <v>Needs Update</v>
      </c>
      <c r="P31" s="5">
        <f>IF(CleanMarketingData[[#This Row],[Impressions]]=0,0,CleanMarketingData[[#This Row],[Clicks]]/CleanMarketingData[[#This Row],[Impressions]])</f>
        <v>2.7215189873417721E-2</v>
      </c>
      <c r="Q31" s="7">
        <f>IF(CleanMarketingData[[#This Row],[Leads]]=0,0,CleanMarketingData[[#This Row],[Budget_EUR]]/CleanMarketingData[[#This Row],[Leads]])</f>
        <v>7.0652173913043477</v>
      </c>
    </row>
    <row r="32" spans="1:17">
      <c r="A32" s="1" t="s">
        <v>102</v>
      </c>
      <c r="B32" s="3" t="s">
        <v>14</v>
      </c>
      <c r="C32" s="3" t="s">
        <v>15</v>
      </c>
      <c r="D32" s="3" t="s">
        <v>16</v>
      </c>
      <c r="E32" s="3" t="s">
        <v>17</v>
      </c>
      <c r="F32" s="3" t="s">
        <v>18</v>
      </c>
      <c r="G32" s="3">
        <v>122</v>
      </c>
      <c r="H32" s="3">
        <v>435</v>
      </c>
      <c r="I32" s="3">
        <v>12100</v>
      </c>
      <c r="J32" s="3">
        <v>855</v>
      </c>
      <c r="K32" s="3" t="s">
        <v>19</v>
      </c>
      <c r="L32" s="4">
        <v>46143</v>
      </c>
      <c r="M32" s="3" t="s">
        <v>20</v>
      </c>
      <c r="N32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32" s="3" t="str">
        <f ca="1">IF(CleanMarketingData[[#This Row],[Last_Updated]]="","Needs Update",IF(TODAY()-CleanMarketingData[[#This Row],[Last_Updated]]&gt;30,"Needs Update","Up-to-date"))</f>
        <v>Up-to-date</v>
      </c>
      <c r="P32" s="5">
        <f>IF(CleanMarketingData[[#This Row],[Impressions]]=0,0,CleanMarketingData[[#This Row],[Clicks]]/CleanMarketingData[[#This Row],[Impressions]])</f>
        <v>3.5950413223140493E-2</v>
      </c>
      <c r="Q32" s="7">
        <f>IF(CleanMarketingData[[#This Row],[Leads]]=0,0,CleanMarketingData[[#This Row],[Budget_EUR]]/CleanMarketingData[[#This Row],[Leads]])</f>
        <v>7.0081967213114753</v>
      </c>
    </row>
    <row r="33" spans="1:17">
      <c r="A33" s="1" t="s">
        <v>104</v>
      </c>
      <c r="B33" s="3" t="s">
        <v>66</v>
      </c>
      <c r="C33" s="3" t="s">
        <v>30</v>
      </c>
      <c r="D33" s="3" t="s">
        <v>31</v>
      </c>
      <c r="E33" s="3" t="s">
        <v>25</v>
      </c>
      <c r="F33" s="3" t="s">
        <v>33</v>
      </c>
      <c r="G33" s="3">
        <v>180</v>
      </c>
      <c r="H33" s="3">
        <v>440</v>
      </c>
      <c r="I33" s="3">
        <v>17200</v>
      </c>
      <c r="J33" s="3">
        <v>930</v>
      </c>
      <c r="K33" s="3" t="s">
        <v>34</v>
      </c>
      <c r="L33" s="4">
        <v>46133</v>
      </c>
      <c r="M33" s="3" t="s">
        <v>20</v>
      </c>
      <c r="N33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33" s="3" t="str">
        <f ca="1">IF(CleanMarketingData[[#This Row],[Last_Updated]]="","Needs Update",IF(TODAY()-CleanMarketingData[[#This Row],[Last_Updated]]&gt;30,"Needs Update","Up-to-date"))</f>
        <v>Up-to-date</v>
      </c>
      <c r="P33" s="5">
        <f>IF(CleanMarketingData[[#This Row],[Impressions]]=0,0,CleanMarketingData[[#This Row],[Clicks]]/CleanMarketingData[[#This Row],[Impressions]])</f>
        <v>2.5581395348837209E-2</v>
      </c>
      <c r="Q33" s="7">
        <f>IF(CleanMarketingData[[#This Row],[Leads]]=0,0,CleanMarketingData[[#This Row],[Budget_EUR]]/CleanMarketingData[[#This Row],[Leads]])</f>
        <v>5.166666666666667</v>
      </c>
    </row>
    <row r="34" spans="1:17">
      <c r="A34" s="1" t="s">
        <v>105</v>
      </c>
      <c r="B34" s="3" t="s">
        <v>68</v>
      </c>
      <c r="C34" s="3"/>
      <c r="D34" s="3" t="s">
        <v>16</v>
      </c>
      <c r="E34" s="3" t="s">
        <v>32</v>
      </c>
      <c r="F34" s="3" t="s">
        <v>40</v>
      </c>
      <c r="G34" s="3">
        <v>108</v>
      </c>
      <c r="H34" s="3">
        <v>250</v>
      </c>
      <c r="I34" s="3">
        <v>9700</v>
      </c>
      <c r="J34" s="3">
        <v>940</v>
      </c>
      <c r="K34" s="3" t="s">
        <v>27</v>
      </c>
      <c r="L34" s="4">
        <v>46093</v>
      </c>
      <c r="M34" s="3" t="s">
        <v>35</v>
      </c>
      <c r="N34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Incomplete</v>
      </c>
      <c r="O34" s="3" t="str">
        <f ca="1">IF(CleanMarketingData[[#This Row],[Last_Updated]]="","Needs Update",IF(TODAY()-CleanMarketingData[[#This Row],[Last_Updated]]&gt;30,"Needs Update","Up-to-date"))</f>
        <v>Needs Update</v>
      </c>
      <c r="P34" s="5">
        <f>IF(CleanMarketingData[[#This Row],[Impressions]]=0,0,CleanMarketingData[[#This Row],[Clicks]]/CleanMarketingData[[#This Row],[Impressions]])</f>
        <v>2.5773195876288658E-2</v>
      </c>
      <c r="Q34" s="7">
        <f>IF(CleanMarketingData[[#This Row],[Leads]]=0,0,CleanMarketingData[[#This Row],[Budget_EUR]]/CleanMarketingData[[#This Row],[Leads]])</f>
        <v>8.7037037037037042</v>
      </c>
    </row>
    <row r="35" spans="1:17">
      <c r="A35" s="1" t="s">
        <v>106</v>
      </c>
      <c r="B35" s="3" t="s">
        <v>70</v>
      </c>
      <c r="C35" s="3" t="s">
        <v>45</v>
      </c>
      <c r="D35" s="3" t="s">
        <v>24</v>
      </c>
      <c r="E35" s="3" t="s">
        <v>47</v>
      </c>
      <c r="F35" s="3" t="s">
        <v>26</v>
      </c>
      <c r="G35" s="3">
        <v>68</v>
      </c>
      <c r="H35" s="3">
        <v>148</v>
      </c>
      <c r="I35" s="3">
        <v>5400</v>
      </c>
      <c r="J35" s="3">
        <v>440</v>
      </c>
      <c r="K35" s="3"/>
      <c r="L35" s="4">
        <v>46146</v>
      </c>
      <c r="M35" s="3" t="s">
        <v>20</v>
      </c>
      <c r="N35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Incomplete</v>
      </c>
      <c r="O35" s="3" t="str">
        <f ca="1">IF(CleanMarketingData[[#This Row],[Last_Updated]]="","Needs Update",IF(TODAY()-CleanMarketingData[[#This Row],[Last_Updated]]&gt;30,"Needs Update","Up-to-date"))</f>
        <v>Up-to-date</v>
      </c>
      <c r="P35" s="5">
        <f>IF(CleanMarketingData[[#This Row],[Impressions]]=0,0,CleanMarketingData[[#This Row],[Clicks]]/CleanMarketingData[[#This Row],[Impressions]])</f>
        <v>2.7407407407407408E-2</v>
      </c>
      <c r="Q35" s="7">
        <f>IF(CleanMarketingData[[#This Row],[Leads]]=0,0,CleanMarketingData[[#This Row],[Budget_EUR]]/CleanMarketingData[[#This Row],[Leads]])</f>
        <v>6.4705882352941178</v>
      </c>
    </row>
    <row r="36" spans="1:17">
      <c r="A36" s="1" t="s">
        <v>108</v>
      </c>
      <c r="B36" s="3" t="s">
        <v>72</v>
      </c>
      <c r="C36" s="3" t="s">
        <v>38</v>
      </c>
      <c r="D36" s="3" t="s">
        <v>31</v>
      </c>
      <c r="E36" s="3" t="s">
        <v>39</v>
      </c>
      <c r="F36" s="3" t="s">
        <v>40</v>
      </c>
      <c r="G36" s="3">
        <v>138</v>
      </c>
      <c r="H36" s="3">
        <v>322</v>
      </c>
      <c r="I36" s="3">
        <v>11900</v>
      </c>
      <c r="J36" s="3">
        <v>1240</v>
      </c>
      <c r="K36" s="3" t="s">
        <v>41</v>
      </c>
      <c r="L36" s="3"/>
      <c r="M36" s="3" t="s">
        <v>64</v>
      </c>
      <c r="N36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Incomplete</v>
      </c>
      <c r="O36" s="3" t="str">
        <f ca="1">IF(CleanMarketingData[[#This Row],[Last_Updated]]="","Needs Update",IF(TODAY()-CleanMarketingData[[#This Row],[Last_Updated]]&gt;30,"Needs Update","Up-to-date"))</f>
        <v>Needs Update</v>
      </c>
      <c r="P36" s="5">
        <f>IF(CleanMarketingData[[#This Row],[Impressions]]=0,0,CleanMarketingData[[#This Row],[Clicks]]/CleanMarketingData[[#This Row],[Impressions]])</f>
        <v>2.7058823529411764E-2</v>
      </c>
      <c r="Q36" s="7">
        <f>IF(CleanMarketingData[[#This Row],[Leads]]=0,0,CleanMarketingData[[#This Row],[Budget_EUR]]/CleanMarketingData[[#This Row],[Leads]])</f>
        <v>8.9855072463768124</v>
      </c>
    </row>
    <row r="37" spans="1:17">
      <c r="A37" s="1" t="s">
        <v>109</v>
      </c>
      <c r="B37" s="3" t="s">
        <v>74</v>
      </c>
      <c r="C37" s="3" t="s">
        <v>23</v>
      </c>
      <c r="D37" s="3" t="s">
        <v>16</v>
      </c>
      <c r="E37" s="3" t="s">
        <v>54</v>
      </c>
      <c r="F37" s="3" t="s">
        <v>55</v>
      </c>
      <c r="G37" s="3">
        <v>96</v>
      </c>
      <c r="H37" s="3">
        <v>230</v>
      </c>
      <c r="I37" s="3">
        <v>8500</v>
      </c>
      <c r="J37" s="3">
        <v>380</v>
      </c>
      <c r="K37" s="3" t="s">
        <v>49</v>
      </c>
      <c r="L37" s="4">
        <v>46115</v>
      </c>
      <c r="M37" s="3" t="s">
        <v>56</v>
      </c>
      <c r="N37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37" s="3" t="str">
        <f ca="1">IF(CleanMarketingData[[#This Row],[Last_Updated]]="","Needs Update",IF(TODAY()-CleanMarketingData[[#This Row],[Last_Updated]]&gt;30,"Needs Update","Up-to-date"))</f>
        <v>Needs Update</v>
      </c>
      <c r="P37" s="5">
        <f>IF(CleanMarketingData[[#This Row],[Impressions]]=0,0,CleanMarketingData[[#This Row],[Clicks]]/CleanMarketingData[[#This Row],[Impressions]])</f>
        <v>2.7058823529411764E-2</v>
      </c>
      <c r="Q37" s="7">
        <f>IF(CleanMarketingData[[#This Row],[Leads]]=0,0,CleanMarketingData[[#This Row],[Budget_EUR]]/CleanMarketingData[[#This Row],[Leads]])</f>
        <v>3.9583333333333335</v>
      </c>
    </row>
    <row r="38" spans="1:17">
      <c r="A38" s="1" t="s">
        <v>111</v>
      </c>
      <c r="B38" s="3" t="s">
        <v>76</v>
      </c>
      <c r="C38" s="3" t="s">
        <v>53</v>
      </c>
      <c r="D38" s="3" t="s">
        <v>24</v>
      </c>
      <c r="E38" s="3" t="s">
        <v>32</v>
      </c>
      <c r="F38" s="3" t="s">
        <v>33</v>
      </c>
      <c r="G38" s="3">
        <v>152</v>
      </c>
      <c r="H38" s="3">
        <v>365</v>
      </c>
      <c r="I38" s="3">
        <v>14000</v>
      </c>
      <c r="J38" s="3">
        <v>805</v>
      </c>
      <c r="K38" s="3" t="s">
        <v>34</v>
      </c>
      <c r="L38" s="4">
        <v>46110</v>
      </c>
      <c r="M38" s="3" t="s">
        <v>20</v>
      </c>
      <c r="N38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38" s="3" t="str">
        <f ca="1">IF(CleanMarketingData[[#This Row],[Last_Updated]]="","Needs Update",IF(TODAY()-CleanMarketingData[[#This Row],[Last_Updated]]&gt;30,"Needs Update","Up-to-date"))</f>
        <v>Needs Update</v>
      </c>
      <c r="P38" s="5">
        <f>IF(CleanMarketingData[[#This Row],[Impressions]]=0,0,CleanMarketingData[[#This Row],[Clicks]]/CleanMarketingData[[#This Row],[Impressions]])</f>
        <v>2.6071428571428572E-2</v>
      </c>
      <c r="Q38" s="7">
        <f>IF(CleanMarketingData[[#This Row],[Leads]]=0,0,CleanMarketingData[[#This Row],[Budget_EUR]]/CleanMarketingData[[#This Row],[Leads]])</f>
        <v>5.2960526315789478</v>
      </c>
    </row>
    <row r="39" spans="1:17">
      <c r="A39" s="1" t="s">
        <v>112</v>
      </c>
      <c r="B39" s="3" t="s">
        <v>78</v>
      </c>
      <c r="C39" s="3" t="s">
        <v>38</v>
      </c>
      <c r="D39" s="3" t="s">
        <v>16</v>
      </c>
      <c r="E39" s="3" t="s">
        <v>17</v>
      </c>
      <c r="F39" s="3" t="s">
        <v>48</v>
      </c>
      <c r="G39" s="3">
        <v>128</v>
      </c>
      <c r="H39" s="3">
        <v>290</v>
      </c>
      <c r="I39" s="3">
        <v>11600</v>
      </c>
      <c r="J39" s="3">
        <v>940</v>
      </c>
      <c r="K39" s="3"/>
      <c r="L39" s="4">
        <v>46142</v>
      </c>
      <c r="M39" s="3" t="s">
        <v>35</v>
      </c>
      <c r="N39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Incomplete</v>
      </c>
      <c r="O39" s="3" t="str">
        <f ca="1">IF(CleanMarketingData[[#This Row],[Last_Updated]]="","Needs Update",IF(TODAY()-CleanMarketingData[[#This Row],[Last_Updated]]&gt;30,"Needs Update","Up-to-date"))</f>
        <v>Up-to-date</v>
      </c>
      <c r="P39" s="5">
        <f>IF(CleanMarketingData[[#This Row],[Impressions]]=0,0,CleanMarketingData[[#This Row],[Clicks]]/CleanMarketingData[[#This Row],[Impressions]])</f>
        <v>2.5000000000000001E-2</v>
      </c>
      <c r="Q39" s="7">
        <f>IF(CleanMarketingData[[#This Row],[Leads]]=0,0,CleanMarketingData[[#This Row],[Budget_EUR]]/CleanMarketingData[[#This Row],[Leads]])</f>
        <v>7.34375</v>
      </c>
    </row>
    <row r="40" spans="1:17">
      <c r="A40" s="1" t="s">
        <v>113</v>
      </c>
      <c r="B40" s="3" t="s">
        <v>80</v>
      </c>
      <c r="C40" s="3" t="s">
        <v>45</v>
      </c>
      <c r="D40" s="3" t="s">
        <v>31</v>
      </c>
      <c r="E40" s="3" t="s">
        <v>47</v>
      </c>
      <c r="F40" s="3" t="s">
        <v>18</v>
      </c>
      <c r="G40" s="3">
        <v>82</v>
      </c>
      <c r="H40" s="3">
        <v>175</v>
      </c>
      <c r="I40" s="3">
        <v>6500</v>
      </c>
      <c r="J40" s="3">
        <v>530</v>
      </c>
      <c r="K40" s="3" t="s">
        <v>27</v>
      </c>
      <c r="L40" s="4">
        <v>46147</v>
      </c>
      <c r="M40" s="3" t="s">
        <v>20</v>
      </c>
      <c r="N40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40" s="3" t="str">
        <f ca="1">IF(CleanMarketingData[[#This Row],[Last_Updated]]="","Needs Update",IF(TODAY()-CleanMarketingData[[#This Row],[Last_Updated]]&gt;30,"Needs Update","Up-to-date"))</f>
        <v>Up-to-date</v>
      </c>
      <c r="P40" s="5">
        <f>IF(CleanMarketingData[[#This Row],[Impressions]]=0,0,CleanMarketingData[[#This Row],[Clicks]]/CleanMarketingData[[#This Row],[Impressions]])</f>
        <v>2.6923076923076925E-2</v>
      </c>
      <c r="Q40" s="7">
        <f>IF(CleanMarketingData[[#This Row],[Leads]]=0,0,CleanMarketingData[[#This Row],[Budget_EUR]]/CleanMarketingData[[#This Row],[Leads]])</f>
        <v>6.4634146341463419</v>
      </c>
    </row>
    <row r="41" spans="1:17">
      <c r="A41" s="1" t="s">
        <v>115</v>
      </c>
      <c r="B41" s="3" t="s">
        <v>82</v>
      </c>
      <c r="C41" s="3" t="s">
        <v>15</v>
      </c>
      <c r="D41" s="3" t="s">
        <v>24</v>
      </c>
      <c r="E41" s="3" t="s">
        <v>39</v>
      </c>
      <c r="F41" s="3" t="s">
        <v>26</v>
      </c>
      <c r="G41" s="3">
        <v>148</v>
      </c>
      <c r="H41" s="3">
        <v>355</v>
      </c>
      <c r="I41" s="3">
        <v>13400</v>
      </c>
      <c r="J41" s="3">
        <v>880</v>
      </c>
      <c r="K41" s="3" t="s">
        <v>41</v>
      </c>
      <c r="L41" s="4">
        <v>46123</v>
      </c>
      <c r="M41" s="3" t="s">
        <v>64</v>
      </c>
      <c r="N41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41" s="3" t="str">
        <f ca="1">IF(CleanMarketingData[[#This Row],[Last_Updated]]="","Needs Update",IF(TODAY()-CleanMarketingData[[#This Row],[Last_Updated]]&gt;30,"Needs Update","Up-to-date"))</f>
        <v>Up-to-date</v>
      </c>
      <c r="P41" s="5">
        <f>IF(CleanMarketingData[[#This Row],[Impressions]]=0,0,CleanMarketingData[[#This Row],[Clicks]]/CleanMarketingData[[#This Row],[Impressions]])</f>
        <v>2.6492537313432835E-2</v>
      </c>
      <c r="Q41" s="7">
        <f>IF(CleanMarketingData[[#This Row],[Leads]]=0,0,CleanMarketingData[[#This Row],[Budget_EUR]]/CleanMarketingData[[#This Row],[Leads]])</f>
        <v>5.9459459459459456</v>
      </c>
    </row>
    <row r="42" spans="1:17">
      <c r="A42" s="1" t="s">
        <v>116</v>
      </c>
      <c r="B42" s="3" t="s">
        <v>84</v>
      </c>
      <c r="C42" s="3" t="s">
        <v>23</v>
      </c>
      <c r="D42" s="3" t="s">
        <v>16</v>
      </c>
      <c r="E42" s="3" t="s">
        <v>25</v>
      </c>
      <c r="F42" s="3" t="s">
        <v>48</v>
      </c>
      <c r="G42" s="3">
        <v>78</v>
      </c>
      <c r="H42" s="3">
        <v>170</v>
      </c>
      <c r="I42" s="3">
        <v>6100</v>
      </c>
      <c r="J42" s="3">
        <v>470</v>
      </c>
      <c r="K42" s="3" t="s">
        <v>49</v>
      </c>
      <c r="L42" s="4">
        <v>46097</v>
      </c>
      <c r="M42" s="3" t="s">
        <v>35</v>
      </c>
      <c r="N42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42" s="3" t="str">
        <f ca="1">IF(CleanMarketingData[[#This Row],[Last_Updated]]="","Needs Update",IF(TODAY()-CleanMarketingData[[#This Row],[Last_Updated]]&gt;30,"Needs Update","Up-to-date"))</f>
        <v>Needs Update</v>
      </c>
      <c r="P42" s="5">
        <f>IF(CleanMarketingData[[#This Row],[Impressions]]=0,0,CleanMarketingData[[#This Row],[Clicks]]/CleanMarketingData[[#This Row],[Impressions]])</f>
        <v>2.7868852459016394E-2</v>
      </c>
      <c r="Q42" s="7">
        <f>IF(CleanMarketingData[[#This Row],[Leads]]=0,0,CleanMarketingData[[#This Row],[Budget_EUR]]/CleanMarketingData[[#This Row],[Leads]])</f>
        <v>6.0256410256410255</v>
      </c>
    </row>
    <row r="43" spans="1:17">
      <c r="A43" s="1" t="s">
        <v>117</v>
      </c>
      <c r="B43" s="3" t="s">
        <v>86</v>
      </c>
      <c r="C43" s="3" t="s">
        <v>30</v>
      </c>
      <c r="D43" s="3" t="s">
        <v>31</v>
      </c>
      <c r="E43" s="3" t="s">
        <v>54</v>
      </c>
      <c r="F43" s="3" t="s">
        <v>33</v>
      </c>
      <c r="G43" s="3">
        <v>195</v>
      </c>
      <c r="H43" s="3">
        <v>460</v>
      </c>
      <c r="I43" s="3">
        <v>18200</v>
      </c>
      <c r="J43" s="3">
        <v>1000</v>
      </c>
      <c r="K43" s="3" t="s">
        <v>34</v>
      </c>
      <c r="L43" s="4">
        <v>46148</v>
      </c>
      <c r="M43" s="3" t="s">
        <v>20</v>
      </c>
      <c r="N43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43" s="3" t="str">
        <f ca="1">IF(CleanMarketingData[[#This Row],[Last_Updated]]="","Needs Update",IF(TODAY()-CleanMarketingData[[#This Row],[Last_Updated]]&gt;30,"Needs Update","Up-to-date"))</f>
        <v>Up-to-date</v>
      </c>
      <c r="P43" s="5">
        <f>IF(CleanMarketingData[[#This Row],[Impressions]]=0,0,CleanMarketingData[[#This Row],[Clicks]]/CleanMarketingData[[#This Row],[Impressions]])</f>
        <v>2.5274725274725275E-2</v>
      </c>
      <c r="Q43" s="7">
        <f>IF(CleanMarketingData[[#This Row],[Leads]]=0,0,CleanMarketingData[[#This Row],[Budget_EUR]]/CleanMarketingData[[#This Row],[Leads]])</f>
        <v>5.1282051282051286</v>
      </c>
    </row>
    <row r="44" spans="1:17">
      <c r="A44" s="1" t="s">
        <v>118</v>
      </c>
      <c r="B44" s="3" t="s">
        <v>88</v>
      </c>
      <c r="C44" s="3" t="s">
        <v>38</v>
      </c>
      <c r="D44" s="3" t="s">
        <v>16</v>
      </c>
      <c r="E44" s="3" t="s">
        <v>32</v>
      </c>
      <c r="F44" s="3" t="s">
        <v>40</v>
      </c>
      <c r="G44" s="3">
        <v>122</v>
      </c>
      <c r="H44" s="3">
        <v>280</v>
      </c>
      <c r="I44" s="3">
        <v>10600</v>
      </c>
      <c r="J44" s="3">
        <v>1130</v>
      </c>
      <c r="K44" s="3" t="s">
        <v>41</v>
      </c>
      <c r="L44" s="4">
        <v>46125</v>
      </c>
      <c r="M44" s="3" t="s">
        <v>20</v>
      </c>
      <c r="N44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44" s="3" t="str">
        <f ca="1">IF(CleanMarketingData[[#This Row],[Last_Updated]]="","Needs Update",IF(TODAY()-CleanMarketingData[[#This Row],[Last_Updated]]&gt;30,"Needs Update","Up-to-date"))</f>
        <v>Up-to-date</v>
      </c>
      <c r="P44" s="5">
        <f>IF(CleanMarketingData[[#This Row],[Impressions]]=0,0,CleanMarketingData[[#This Row],[Clicks]]/CleanMarketingData[[#This Row],[Impressions]])</f>
        <v>2.6415094339622643E-2</v>
      </c>
      <c r="Q44" s="7">
        <f>IF(CleanMarketingData[[#This Row],[Leads]]=0,0,CleanMarketingData[[#This Row],[Budget_EUR]]/CleanMarketingData[[#This Row],[Leads]])</f>
        <v>9.2622950819672134</v>
      </c>
    </row>
    <row r="45" spans="1:17">
      <c r="A45" s="1" t="s">
        <v>119</v>
      </c>
      <c r="B45" s="3" t="s">
        <v>90</v>
      </c>
      <c r="C45" s="3" t="s">
        <v>45</v>
      </c>
      <c r="D45" s="3" t="s">
        <v>24</v>
      </c>
      <c r="E45" s="3" t="s">
        <v>17</v>
      </c>
      <c r="F45" s="3" t="s">
        <v>26</v>
      </c>
      <c r="G45" s="3">
        <v>62</v>
      </c>
      <c r="H45" s="3">
        <v>130</v>
      </c>
      <c r="I45" s="3">
        <v>5000</v>
      </c>
      <c r="J45" s="3">
        <v>420</v>
      </c>
      <c r="K45" s="3" t="s">
        <v>19</v>
      </c>
      <c r="L45" s="4">
        <v>46114</v>
      </c>
      <c r="M45" s="3" t="s">
        <v>56</v>
      </c>
      <c r="N45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45" s="3" t="str">
        <f ca="1">IF(CleanMarketingData[[#This Row],[Last_Updated]]="","Needs Update",IF(TODAY()-CleanMarketingData[[#This Row],[Last_Updated]]&gt;30,"Needs Update","Up-to-date"))</f>
        <v>Needs Update</v>
      </c>
      <c r="P45" s="5">
        <f>IF(CleanMarketingData[[#This Row],[Impressions]]=0,0,CleanMarketingData[[#This Row],[Clicks]]/CleanMarketingData[[#This Row],[Impressions]])</f>
        <v>2.5999999999999999E-2</v>
      </c>
      <c r="Q45" s="7">
        <f>IF(CleanMarketingData[[#This Row],[Leads]]=0,0,CleanMarketingData[[#This Row],[Budget_EUR]]/CleanMarketingData[[#This Row],[Leads]])</f>
        <v>6.774193548387097</v>
      </c>
    </row>
    <row r="46" spans="1:17">
      <c r="A46" s="1" t="s">
        <v>120</v>
      </c>
      <c r="B46" s="3" t="s">
        <v>92</v>
      </c>
      <c r="C46" s="3" t="s">
        <v>53</v>
      </c>
      <c r="D46" s="3" t="s">
        <v>31</v>
      </c>
      <c r="E46" s="3" t="s">
        <v>47</v>
      </c>
      <c r="F46" s="3" t="s">
        <v>18</v>
      </c>
      <c r="G46" s="3">
        <v>112</v>
      </c>
      <c r="H46" s="3">
        <v>275</v>
      </c>
      <c r="I46" s="3">
        <v>9500</v>
      </c>
      <c r="J46" s="3">
        <v>640</v>
      </c>
      <c r="K46" s="3" t="s">
        <v>49</v>
      </c>
      <c r="L46" s="4">
        <v>46149</v>
      </c>
      <c r="M46" s="3" t="s">
        <v>20</v>
      </c>
      <c r="N46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46" s="3" t="str">
        <f ca="1">IF(CleanMarketingData[[#This Row],[Last_Updated]]="","Needs Update",IF(TODAY()-CleanMarketingData[[#This Row],[Last_Updated]]&gt;30,"Needs Update","Up-to-date"))</f>
        <v>Up-to-date</v>
      </c>
      <c r="P46" s="5">
        <f>IF(CleanMarketingData[[#This Row],[Impressions]]=0,0,CleanMarketingData[[#This Row],[Clicks]]/CleanMarketingData[[#This Row],[Impressions]])</f>
        <v>2.8947368421052631E-2</v>
      </c>
      <c r="Q46" s="7">
        <f>IF(CleanMarketingData[[#This Row],[Leads]]=0,0,CleanMarketingData[[#This Row],[Budget_EUR]]/CleanMarketingData[[#This Row],[Leads]])</f>
        <v>5.7142857142857144</v>
      </c>
    </row>
    <row r="47" spans="1:17">
      <c r="A47" s="1" t="s">
        <v>121</v>
      </c>
      <c r="B47" s="3" t="s">
        <v>94</v>
      </c>
      <c r="C47" s="3" t="s">
        <v>23</v>
      </c>
      <c r="D47" s="3" t="s">
        <v>16</v>
      </c>
      <c r="E47" s="3" t="s">
        <v>39</v>
      </c>
      <c r="F47" s="3" t="s">
        <v>48</v>
      </c>
      <c r="G47" s="3">
        <v>85</v>
      </c>
      <c r="H47" s="3">
        <v>198</v>
      </c>
      <c r="I47" s="3">
        <v>7100</v>
      </c>
      <c r="J47" s="3">
        <v>555</v>
      </c>
      <c r="K47" s="3" t="s">
        <v>27</v>
      </c>
      <c r="L47" s="3"/>
      <c r="M47" s="3" t="s">
        <v>64</v>
      </c>
      <c r="N47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Incomplete</v>
      </c>
      <c r="O47" s="3" t="str">
        <f ca="1">IF(CleanMarketingData[[#This Row],[Last_Updated]]="","Needs Update",IF(TODAY()-CleanMarketingData[[#This Row],[Last_Updated]]&gt;30,"Needs Update","Up-to-date"))</f>
        <v>Needs Update</v>
      </c>
      <c r="P47" s="5">
        <f>IF(CleanMarketingData[[#This Row],[Impressions]]=0,0,CleanMarketingData[[#This Row],[Clicks]]/CleanMarketingData[[#This Row],[Impressions]])</f>
        <v>2.7887323943661974E-2</v>
      </c>
      <c r="Q47" s="7">
        <f>IF(CleanMarketingData[[#This Row],[Leads]]=0,0,CleanMarketingData[[#This Row],[Budget_EUR]]/CleanMarketingData[[#This Row],[Leads]])</f>
        <v>6.5294117647058822</v>
      </c>
    </row>
    <row r="48" spans="1:17">
      <c r="A48" s="1" t="s">
        <v>122</v>
      </c>
      <c r="B48" s="3" t="s">
        <v>96</v>
      </c>
      <c r="C48" s="3" t="s">
        <v>15</v>
      </c>
      <c r="D48" s="3" t="s">
        <v>24</v>
      </c>
      <c r="E48" s="3" t="s">
        <v>25</v>
      </c>
      <c r="F48" s="3" t="s">
        <v>40</v>
      </c>
      <c r="G48" s="3">
        <v>116</v>
      </c>
      <c r="H48" s="3">
        <v>260</v>
      </c>
      <c r="I48" s="3">
        <v>9950</v>
      </c>
      <c r="J48" s="3">
        <v>1010</v>
      </c>
      <c r="K48" s="3" t="s">
        <v>34</v>
      </c>
      <c r="L48" s="4">
        <v>46131</v>
      </c>
      <c r="M48" s="3" t="s">
        <v>35</v>
      </c>
      <c r="N48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48" s="3" t="str">
        <f ca="1">IF(CleanMarketingData[[#This Row],[Last_Updated]]="","Needs Update",IF(TODAY()-CleanMarketingData[[#This Row],[Last_Updated]]&gt;30,"Needs Update","Up-to-date"))</f>
        <v>Up-to-date</v>
      </c>
      <c r="P48" s="5">
        <f>IF(CleanMarketingData[[#This Row],[Impressions]]=0,0,CleanMarketingData[[#This Row],[Clicks]]/CleanMarketingData[[#This Row],[Impressions]])</f>
        <v>2.6130653266331658E-2</v>
      </c>
      <c r="Q48" s="7">
        <f>IF(CleanMarketingData[[#This Row],[Leads]]=0,0,CleanMarketingData[[#This Row],[Budget_EUR]]/CleanMarketingData[[#This Row],[Leads]])</f>
        <v>8.7068965517241388</v>
      </c>
    </row>
    <row r="49" spans="1:17">
      <c r="A49" s="1" t="s">
        <v>123</v>
      </c>
      <c r="B49" s="3" t="s">
        <v>29</v>
      </c>
      <c r="C49" s="3" t="s">
        <v>30</v>
      </c>
      <c r="D49" s="3" t="s">
        <v>16</v>
      </c>
      <c r="E49" s="3" t="s">
        <v>32</v>
      </c>
      <c r="F49" s="3" t="s">
        <v>33</v>
      </c>
      <c r="G49" s="3">
        <v>168</v>
      </c>
      <c r="H49" s="3">
        <v>405</v>
      </c>
      <c r="I49" s="3">
        <v>15600</v>
      </c>
      <c r="J49" s="3">
        <v>770</v>
      </c>
      <c r="K49" s="3" t="s">
        <v>41</v>
      </c>
      <c r="L49" s="4">
        <v>46144</v>
      </c>
      <c r="M49" s="3" t="s">
        <v>20</v>
      </c>
      <c r="N49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49" s="3" t="str">
        <f ca="1">IF(CleanMarketingData[[#This Row],[Last_Updated]]="","Needs Update",IF(TODAY()-CleanMarketingData[[#This Row],[Last_Updated]]&gt;30,"Needs Update","Up-to-date"))</f>
        <v>Up-to-date</v>
      </c>
      <c r="P49" s="5">
        <f>IF(CleanMarketingData[[#This Row],[Impressions]]=0,0,CleanMarketingData[[#This Row],[Clicks]]/CleanMarketingData[[#This Row],[Impressions]])</f>
        <v>2.5961538461538463E-2</v>
      </c>
      <c r="Q49" s="7">
        <f>IF(CleanMarketingData[[#This Row],[Leads]]=0,0,CleanMarketingData[[#This Row],[Budget_EUR]]/CleanMarketingData[[#This Row],[Leads]])</f>
        <v>4.583333333333333</v>
      </c>
    </row>
    <row r="50" spans="1:17">
      <c r="A50" s="1" t="s">
        <v>124</v>
      </c>
      <c r="B50" s="3" t="s">
        <v>37</v>
      </c>
      <c r="C50" s="3" t="s">
        <v>38</v>
      </c>
      <c r="D50" s="3" t="s">
        <v>24</v>
      </c>
      <c r="E50" s="3" t="s">
        <v>17</v>
      </c>
      <c r="F50" s="3" t="s">
        <v>18</v>
      </c>
      <c r="G50" s="3">
        <v>99</v>
      </c>
      <c r="H50" s="3">
        <v>228</v>
      </c>
      <c r="I50" s="3">
        <v>8600</v>
      </c>
      <c r="J50" s="3">
        <v>1030</v>
      </c>
      <c r="K50" s="3" t="s">
        <v>19</v>
      </c>
      <c r="L50" s="4">
        <v>46136</v>
      </c>
      <c r="M50" s="3" t="s">
        <v>20</v>
      </c>
      <c r="N50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50" s="3" t="str">
        <f ca="1">IF(CleanMarketingData[[#This Row],[Last_Updated]]="","Needs Update",IF(TODAY()-CleanMarketingData[[#This Row],[Last_Updated]]&gt;30,"Needs Update","Up-to-date"))</f>
        <v>Up-to-date</v>
      </c>
      <c r="P50" s="5">
        <f>IF(CleanMarketingData[[#This Row],[Impressions]]=0,0,CleanMarketingData[[#This Row],[Clicks]]/CleanMarketingData[[#This Row],[Impressions]])</f>
        <v>2.6511627906976743E-2</v>
      </c>
      <c r="Q50" s="7">
        <f>IF(CleanMarketingData[[#This Row],[Leads]]=0,0,CleanMarketingData[[#This Row],[Budget_EUR]]/CleanMarketingData[[#This Row],[Leads]])</f>
        <v>10.404040404040405</v>
      </c>
    </row>
    <row r="51" spans="1:17">
      <c r="A51" s="1" t="s">
        <v>125</v>
      </c>
      <c r="B51" s="3" t="s">
        <v>44</v>
      </c>
      <c r="C51" s="3" t="s">
        <v>45</v>
      </c>
      <c r="D51" s="3" t="s">
        <v>31</v>
      </c>
      <c r="E51" s="3" t="s">
        <v>54</v>
      </c>
      <c r="F51" s="3" t="s">
        <v>55</v>
      </c>
      <c r="G51" s="3">
        <v>55</v>
      </c>
      <c r="H51" s="3">
        <v>112</v>
      </c>
      <c r="I51" s="3">
        <v>4400</v>
      </c>
      <c r="J51" s="3">
        <v>380</v>
      </c>
      <c r="K51" s="3" t="s">
        <v>27</v>
      </c>
      <c r="L51" s="4">
        <v>46089</v>
      </c>
      <c r="M51" s="3" t="s">
        <v>56</v>
      </c>
      <c r="N51" s="3" t="str">
        <f>IF(OR(CleanMarketingData[[#This Row],[Product_ID]]="",CleanMarketingData[[#This Row],[Product_Name]]="",CleanMarketingData[[#This Row],[Product_Family]]="",CleanMarketingData[[#This Row],[Region]]="",CleanMarketingData[[#This Row],[Owner]]="",CleanMarketingData[[#This Row],[Last_Updated]]=""),"Incomplete","Complete")</f>
        <v>Complete</v>
      </c>
      <c r="O51" s="3" t="str">
        <f ca="1">IF(CleanMarketingData[[#This Row],[Last_Updated]]="","Needs Update",IF(TODAY()-CleanMarketingData[[#This Row],[Last_Updated]]&gt;30,"Needs Update","Up-to-date"))</f>
        <v>Needs Update</v>
      </c>
      <c r="P51" s="5">
        <f>IF(CleanMarketingData[[#This Row],[Impressions]]=0,0,CleanMarketingData[[#This Row],[Clicks]]/CleanMarketingData[[#This Row],[Impressions]])</f>
        <v>2.5454545454545455E-2</v>
      </c>
      <c r="Q51" s="7">
        <f>IF(CleanMarketingData[[#This Row],[Leads]]=0,0,CleanMarketingData[[#This Row],[Budget_EUR]]/CleanMarketingData[[#This Row],[Leads]])</f>
        <v>6.9090909090909092</v>
      </c>
    </row>
  </sheetData>
  <conditionalFormatting sqref="N1:N51">
    <cfRule type="containsText" dxfId="20" priority="2" operator="containsText" text="Incomplete">
      <formula>NOT(ISERROR(SEARCH("Incomplete",N1)))</formula>
    </cfRule>
  </conditionalFormatting>
  <conditionalFormatting sqref="O1:O51">
    <cfRule type="containsText" dxfId="19" priority="1" operator="containsText" text="Needs Update">
      <formula>NOT(ISERROR(SEARCH("Needs Update",O1)))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48C8-8581-4AE8-94CC-756BE2BDFC47}">
  <dimension ref="A1:N9"/>
  <sheetViews>
    <sheetView workbookViewId="0">
      <selection activeCell="N18" sqref="N18"/>
    </sheetView>
  </sheetViews>
  <sheetFormatPr defaultRowHeight="15"/>
  <cols>
    <col min="1" max="1" width="18.5703125" bestFit="1" customWidth="1"/>
    <col min="2" max="2" width="12.5703125" bestFit="1" customWidth="1"/>
    <col min="4" max="4" width="11.42578125" bestFit="1" customWidth="1"/>
    <col min="5" max="5" width="18.5703125" bestFit="1" customWidth="1"/>
    <col min="7" max="7" width="20.42578125" bestFit="1" customWidth="1"/>
    <col min="8" max="8" width="19" bestFit="1" customWidth="1"/>
    <col min="10" max="10" width="20.28515625" bestFit="1" customWidth="1"/>
    <col min="11" max="12" width="12.5703125" bestFit="1" customWidth="1"/>
    <col min="13" max="13" width="28.7109375" bestFit="1" customWidth="1"/>
    <col min="14" max="14" width="24.140625" bestFit="1" customWidth="1"/>
  </cols>
  <sheetData>
    <row r="1" spans="1:14">
      <c r="A1" s="8" t="s">
        <v>2</v>
      </c>
      <c r="B1" t="s">
        <v>130</v>
      </c>
      <c r="D1" s="8" t="s">
        <v>3</v>
      </c>
      <c r="E1" t="s">
        <v>131</v>
      </c>
      <c r="G1" s="8" t="s">
        <v>126</v>
      </c>
      <c r="H1" t="s">
        <v>132</v>
      </c>
      <c r="J1" s="8" t="s">
        <v>5</v>
      </c>
      <c r="K1" t="s">
        <v>130</v>
      </c>
      <c r="L1" t="s">
        <v>133</v>
      </c>
      <c r="M1" t="s">
        <v>134</v>
      </c>
      <c r="N1" t="s">
        <v>135</v>
      </c>
    </row>
    <row r="2" spans="1:14">
      <c r="A2" t="s">
        <v>38</v>
      </c>
      <c r="B2" s="9">
        <v>1079</v>
      </c>
      <c r="D2" t="s">
        <v>31</v>
      </c>
      <c r="E2" s="9">
        <v>10030</v>
      </c>
      <c r="G2" t="s">
        <v>136</v>
      </c>
      <c r="H2" s="9">
        <v>45</v>
      </c>
      <c r="J2" t="s">
        <v>40</v>
      </c>
      <c r="K2" s="9">
        <v>1077</v>
      </c>
      <c r="L2" s="9">
        <v>2432</v>
      </c>
      <c r="M2" s="10">
        <v>2.5432494450532313E-2</v>
      </c>
      <c r="N2" s="11">
        <v>9.1701920342010332</v>
      </c>
    </row>
    <row r="3" spans="1:14">
      <c r="A3" t="s">
        <v>53</v>
      </c>
      <c r="B3" s="9">
        <v>664</v>
      </c>
      <c r="D3" t="s">
        <v>24</v>
      </c>
      <c r="E3" s="9">
        <v>11595</v>
      </c>
      <c r="G3" t="s">
        <v>137</v>
      </c>
      <c r="H3" s="9">
        <v>5</v>
      </c>
      <c r="J3" t="s">
        <v>33</v>
      </c>
      <c r="K3" s="9">
        <v>1540</v>
      </c>
      <c r="L3" s="9">
        <v>3700</v>
      </c>
      <c r="M3" s="10">
        <v>2.5637471056075709E-2</v>
      </c>
      <c r="N3" s="11">
        <v>5.0054471561262739</v>
      </c>
    </row>
    <row r="4" spans="1:14">
      <c r="A4" t="s">
        <v>30</v>
      </c>
      <c r="B4" s="9">
        <v>1233</v>
      </c>
      <c r="D4" t="s">
        <v>16</v>
      </c>
      <c r="E4" s="9">
        <v>16110</v>
      </c>
      <c r="G4" t="s">
        <v>138</v>
      </c>
      <c r="H4" s="9">
        <v>50</v>
      </c>
      <c r="J4" t="s">
        <v>48</v>
      </c>
      <c r="K4" s="9">
        <v>886</v>
      </c>
      <c r="L4" s="9">
        <v>2023</v>
      </c>
      <c r="M4" s="10">
        <v>2.6815821053396728E-2</v>
      </c>
      <c r="N4" s="11">
        <v>6.5729163495198435</v>
      </c>
    </row>
    <row r="5" spans="1:14">
      <c r="A5" t="s">
        <v>15</v>
      </c>
      <c r="B5" s="9">
        <v>1281</v>
      </c>
      <c r="D5" t="s">
        <v>138</v>
      </c>
      <c r="E5" s="9">
        <v>37735</v>
      </c>
      <c r="J5" t="s">
        <v>55</v>
      </c>
      <c r="K5" s="9">
        <v>444</v>
      </c>
      <c r="L5" s="9">
        <v>1010</v>
      </c>
      <c r="M5" s="10">
        <v>2.6800073906260519E-2</v>
      </c>
      <c r="N5" s="11">
        <v>5.0983124346917448</v>
      </c>
    </row>
    <row r="6" spans="1:14">
      <c r="A6" t="s">
        <v>45</v>
      </c>
      <c r="B6" s="9">
        <v>600</v>
      </c>
      <c r="J6" t="s">
        <v>26</v>
      </c>
      <c r="K6" s="9">
        <v>875</v>
      </c>
      <c r="L6" s="9">
        <v>2033</v>
      </c>
      <c r="M6" s="10">
        <v>2.6913583466370163E-2</v>
      </c>
      <c r="N6" s="11">
        <v>6.4739385981527722</v>
      </c>
    </row>
    <row r="7" spans="1:14">
      <c r="A7" t="s">
        <v>23</v>
      </c>
      <c r="B7" s="9">
        <v>789</v>
      </c>
      <c r="J7" t="s">
        <v>18</v>
      </c>
      <c r="K7" s="9">
        <v>932</v>
      </c>
      <c r="L7" s="9">
        <v>2493</v>
      </c>
      <c r="M7" s="10">
        <v>2.9597338859691662E-2</v>
      </c>
      <c r="N7" s="11">
        <v>7.2752860385238813</v>
      </c>
    </row>
    <row r="8" spans="1:14">
      <c r="A8" t="s">
        <v>139</v>
      </c>
      <c r="B8" s="9">
        <v>108</v>
      </c>
      <c r="J8" t="s">
        <v>138</v>
      </c>
      <c r="K8" s="9">
        <v>5754</v>
      </c>
      <c r="L8" s="9">
        <v>13691</v>
      </c>
      <c r="M8" s="10">
        <v>2.6871414990118029E-2</v>
      </c>
      <c r="N8" s="11">
        <v>6.7194316752434586</v>
      </c>
    </row>
    <row r="9" spans="1:14">
      <c r="A9" t="s">
        <v>138</v>
      </c>
      <c r="B9" s="9">
        <v>5754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982D-C164-40B5-8A22-F70590799650}">
  <dimension ref="B2:L6"/>
  <sheetViews>
    <sheetView workbookViewId="0">
      <selection activeCell="F43" sqref="F43"/>
    </sheetView>
  </sheetViews>
  <sheetFormatPr defaultRowHeight="15"/>
  <cols>
    <col min="2" max="2" width="9.140625" customWidth="1"/>
    <col min="12" max="12" width="16" customWidth="1"/>
  </cols>
  <sheetData>
    <row r="2" spans="2:12" ht="23.25">
      <c r="B2" s="13" t="s">
        <v>140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4" spans="2:12">
      <c r="B4" s="12" t="s">
        <v>141</v>
      </c>
      <c r="C4" s="12"/>
      <c r="E4" s="12" t="s">
        <v>142</v>
      </c>
      <c r="F4" s="12"/>
      <c r="H4" s="12" t="s">
        <v>143</v>
      </c>
      <c r="I4" s="12"/>
      <c r="K4" s="12" t="s">
        <v>144</v>
      </c>
      <c r="L4" s="12"/>
    </row>
    <row r="5" spans="2:12">
      <c r="B5" s="16">
        <f>SUM(Clean_Data!G:G)</f>
        <v>5754</v>
      </c>
      <c r="C5" s="17"/>
      <c r="E5" s="14">
        <f>SUM(Clean_Data!J:J)</f>
        <v>37735</v>
      </c>
      <c r="F5" s="14"/>
      <c r="H5" s="15">
        <f>COUNTIF(Clean_Data!N:N,"Complete")</f>
        <v>45</v>
      </c>
      <c r="I5" s="15"/>
      <c r="K5" s="15">
        <f ca="1">COUNTIF(Clean_Data!O:O,"Needs Update")</f>
        <v>20</v>
      </c>
      <c r="L5" s="15"/>
    </row>
    <row r="6" spans="2:12">
      <c r="B6" s="18"/>
      <c r="C6" s="19"/>
      <c r="E6" s="14"/>
      <c r="F6" s="14"/>
      <c r="H6" s="15"/>
      <c r="I6" s="15"/>
      <c r="K6" s="15"/>
      <c r="L6" s="15"/>
    </row>
  </sheetData>
  <mergeCells count="9">
    <mergeCell ref="B2:L2"/>
    <mergeCell ref="B4:C4"/>
    <mergeCell ref="B5:C6"/>
    <mergeCell ref="E4:F4"/>
    <mergeCell ref="E5:F6"/>
    <mergeCell ref="H4:I4"/>
    <mergeCell ref="H5:I6"/>
    <mergeCell ref="K4:L4"/>
    <mergeCell ref="K5:L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7F11-69EC-4AB5-8AF9-54880F4CAAB4}">
  <dimension ref="A1"/>
  <sheetViews>
    <sheetView workbookViewId="0">
      <selection activeCell="M39" sqref="M39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2026-05-10T14:36:11Z</dcterms:created>
  <dcterms:modified xsi:type="dcterms:W3CDTF">2026-05-11T05:07:42Z</dcterms:modified>
  <cp:category/>
  <cp:contentStatus/>
</cp:coreProperties>
</file>